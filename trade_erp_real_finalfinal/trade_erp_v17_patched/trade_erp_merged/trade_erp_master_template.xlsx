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E1_DATA" sheetId="1" state="visible" r:id="rId1"/>
    <sheet xmlns:r="http://schemas.openxmlformats.org/officeDocument/2006/relationships" name="PAGE2_VIEW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</font>
    <font>
      <color rgb="000000FF"/>
    </font>
    <font>
      <b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5" fillId="0" borderId="0" pivotButton="0" quotePrefix="0" xfId="0"/>
    <xf numFmtId="164" fontId="6" fillId="0" borderId="1" pivotButton="0" quotePrefix="0" xfId="0"/>
    <xf numFmtId="0" fontId="0" fillId="0" borderId="1" pivotButton="0" quotePrefix="0" xfId="0"/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6" customWidth="1" min="5" max="5"/>
    <col width="22" customWidth="1" min="6" max="6"/>
    <col width="10" customWidth="1" min="7" max="7"/>
    <col width="10" customWidth="1" min="8" max="8"/>
    <col width="16" customWidth="1" min="9" max="9"/>
    <col width="16" customWidth="1" min="10" max="10"/>
    <col width="1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  <col width="6" customWidth="1" min="17" max="17"/>
    <col width="12" customWidth="1" min="18" max="18"/>
    <col width="10" customWidth="1" min="19" max="19"/>
    <col width="10" customWidth="1" min="20" max="20"/>
    <col width="14" customWidth="1" min="21" max="21"/>
    <col width="12" customWidth="1" min="22" max="22"/>
    <col width="12" customWidth="1" min="23" max="23"/>
    <col width="12" customWidth="1" min="24" max="24"/>
    <col width="10" customWidth="1" min="25" max="25"/>
    <col width="10" customWidth="1" min="26" max="26"/>
    <col width="14" customWidth="1" min="27" max="27"/>
    <col width="12" customWidth="1" min="28" max="28"/>
    <col width="1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4" customWidth="1" min="34" max="34"/>
    <col width="8" customWidth="1" min="35" max="35"/>
    <col width="14" customWidth="1" min="36" max="36"/>
    <col width="10" customWidth="1" min="37" max="37"/>
    <col width="12" customWidth="1" min="38" max="38"/>
    <col width="16" customWidth="1" min="39" max="39"/>
    <col width="16" customWidth="1" min="40" max="40"/>
  </cols>
  <sheetData>
    <row r="1" ht="24" customHeight="1">
      <c r="A1" s="1" t="inlineStr">
        <is>
          <t>무역 ERP 통합 마스터 엑셀 (단일 파일 관리) — PAGE1: 거래/서류/물류/금융 데이터 입력(라인아이템 단위)</t>
        </is>
      </c>
    </row>
    <row r="3">
      <c r="A3" s="2" t="inlineStr">
        <is>
          <t>입력 규칙</t>
        </is>
      </c>
    </row>
    <row r="4" ht="60" customHeight="1">
      <c r="A4" s="3" t="inlineStr">
        <is>
          <t>• 한 행 = '하나의 품목 라인(item_line)' 기준. (Invoice 1장에 품목 3개면 3행)
• ERP 자동화 시 5개 모듈(대시보드/수입관리/수출관리/서류생성/거래목록)이 모두 이 테이블을 '단일 진실원천(SSOT)'으로 읽고 씀
• PAGE2는 이 테이블을 SUMIFS로 집계하여 선택 조회</t>
        </is>
      </c>
    </row>
    <row r="5"/>
    <row r="6"/>
    <row r="8">
      <c r="A8" s="4" t="inlineStr">
        <is>
          <t>분류유형(큰 분류)</t>
        </is>
      </c>
      <c r="B8" s="4" t="inlineStr">
        <is>
          <t>필드키(영문)</t>
        </is>
      </c>
      <c r="C8" s="4" t="inlineStr">
        <is>
          <t>필드명(한글)</t>
        </is>
      </c>
      <c r="D8" s="4" t="inlineStr">
        <is>
          <t>데이터형</t>
        </is>
      </c>
      <c r="E8" s="4" t="inlineStr">
        <is>
          <t>입력원천(1~5)</t>
        </is>
      </c>
      <c r="F8" s="4" t="inlineStr">
        <is>
          <t>검증/포맷 규칙</t>
        </is>
      </c>
      <c r="G8" s="4" t="inlineStr">
        <is>
          <t>설명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6" t="n"/>
    </row>
    <row r="9">
      <c r="A9" s="5" t="inlineStr">
        <is>
          <t>거래기본</t>
        </is>
      </c>
      <c r="B9" s="5" t="inlineStr">
        <is>
          <t>trade_id</t>
        </is>
      </c>
      <c r="C9" s="5" t="inlineStr">
        <is>
          <t>거래ID</t>
        </is>
      </c>
      <c r="D9" s="5" t="inlineStr">
        <is>
          <t>텍스트</t>
        </is>
      </c>
      <c r="E9" s="5" t="inlineStr">
        <is>
          <t>5</t>
        </is>
      </c>
      <c r="F9" s="5" t="inlineStr">
        <is>
          <t>고유값(자동)</t>
        </is>
      </c>
      <c r="G9" s="5" t="inlineStr">
        <is>
          <t>거래의 고유 식별자(ERP 생성)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6" t="n"/>
    </row>
    <row r="10">
      <c r="A10" s="5" t="inlineStr">
        <is>
          <t>거래기본</t>
        </is>
      </c>
      <c r="B10" s="5" t="inlineStr">
        <is>
          <t>direction</t>
        </is>
      </c>
      <c r="C10" s="5" t="inlineStr">
        <is>
          <t>구분(수입/수출)</t>
        </is>
      </c>
      <c r="D10" s="5" t="inlineStr">
        <is>
          <t>선택</t>
        </is>
      </c>
      <c r="E10" s="5" t="inlineStr">
        <is>
          <t>5</t>
        </is>
      </c>
      <c r="F10" s="5" t="inlineStr">
        <is>
          <t>import/export</t>
        </is>
      </c>
      <c r="G10" s="5" t="inlineStr">
        <is>
          <t>수입 또는 수출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6" t="n"/>
    </row>
    <row r="11">
      <c r="A11" s="5" t="inlineStr">
        <is>
          <t>거래기본</t>
        </is>
      </c>
      <c r="B11" s="5" t="inlineStr">
        <is>
          <t>trade_date</t>
        </is>
      </c>
      <c r="C11" s="5" t="inlineStr">
        <is>
          <t>거래일</t>
        </is>
      </c>
      <c r="D11" s="5" t="inlineStr">
        <is>
          <t>날짜</t>
        </is>
      </c>
      <c r="E11" s="5" t="inlineStr">
        <is>
          <t>5</t>
        </is>
      </c>
      <c r="F11" s="5" t="inlineStr">
        <is>
          <t>YYYY-MM-DD</t>
        </is>
      </c>
      <c r="G11" s="5" t="inlineStr">
        <is>
          <t>거래 기준일(집계 기준)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6" t="n"/>
    </row>
    <row r="12">
      <c r="A12" s="5" t="inlineStr">
        <is>
          <t>거래기본</t>
        </is>
      </c>
      <c r="B12" s="5" t="inlineStr">
        <is>
          <t>status</t>
        </is>
      </c>
      <c r="C12" s="5" t="inlineStr">
        <is>
          <t>상태</t>
        </is>
      </c>
      <c r="D12" s="5" t="inlineStr">
        <is>
          <t>선택</t>
        </is>
      </c>
      <c r="E12" s="5" t="inlineStr">
        <is>
          <t>5</t>
        </is>
      </c>
      <c r="F12" s="5" t="inlineStr">
        <is>
          <t>open/closed/cancelled</t>
        </is>
      </c>
      <c r="G12" s="5" t="inlineStr">
        <is>
          <t>거래 진행 상태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6" t="n"/>
    </row>
    <row r="13">
      <c r="A13" s="5" t="inlineStr">
        <is>
          <t>품목</t>
        </is>
      </c>
      <c r="B13" s="5" t="inlineStr">
        <is>
          <t>item_line_no</t>
        </is>
      </c>
      <c r="C13" s="5" t="inlineStr">
        <is>
          <t>품목라인번호</t>
        </is>
      </c>
      <c r="D13" s="5" t="inlineStr">
        <is>
          <t>숫자</t>
        </is>
      </c>
      <c r="E13" s="5" t="inlineStr">
        <is>
          <t>2/3/4</t>
        </is>
      </c>
      <c r="F13" s="5" t="inlineStr">
        <is>
          <t>1부터</t>
        </is>
      </c>
      <c r="G13" s="5" t="inlineStr">
        <is>
          <t>문서 내 품목 순번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6" t="n"/>
    </row>
    <row r="14">
      <c r="A14" s="5" t="inlineStr">
        <is>
          <t>품목</t>
        </is>
      </c>
      <c r="B14" s="5" t="inlineStr">
        <is>
          <t>item_name</t>
        </is>
      </c>
      <c r="C14" s="5" t="inlineStr">
        <is>
          <t>물품명</t>
        </is>
      </c>
      <c r="D14" s="5" t="inlineStr">
        <is>
          <t>텍스트</t>
        </is>
      </c>
      <c r="E14" s="5" t="inlineStr">
        <is>
          <t>2/3/4/5</t>
        </is>
      </c>
      <c r="F14" s="5" t="inlineStr"/>
      <c r="G14" s="5" t="inlineStr">
        <is>
          <t>한글/영문 가능(표준명 권장)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6" t="n"/>
    </row>
    <row r="15">
      <c r="A15" s="5" t="inlineStr">
        <is>
          <t>품목</t>
        </is>
      </c>
      <c r="B15" s="5" t="inlineStr">
        <is>
          <t>hscode</t>
        </is>
      </c>
      <c r="C15" s="5" t="inlineStr">
        <is>
          <t>HS Code</t>
        </is>
      </c>
      <c r="D15" s="5" t="inlineStr">
        <is>
          <t>텍스트</t>
        </is>
      </c>
      <c r="E15" s="5" t="inlineStr">
        <is>
          <t>5/2/3/4</t>
        </is>
      </c>
      <c r="F15" s="5" t="inlineStr">
        <is>
          <t>숫자만 4~10자리</t>
        </is>
      </c>
      <c r="G15" s="5" t="inlineStr">
        <is>
          <t>예: 847130, 8471300000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6" t="n"/>
    </row>
    <row r="16">
      <c r="A16" s="5" t="inlineStr">
        <is>
          <t>품목</t>
        </is>
      </c>
      <c r="B16" s="5" t="inlineStr">
        <is>
          <t>origin_country</t>
        </is>
      </c>
      <c r="C16" s="5" t="inlineStr">
        <is>
          <t>원산지</t>
        </is>
      </c>
      <c r="D16" s="5" t="inlineStr">
        <is>
          <t>텍스트</t>
        </is>
      </c>
      <c r="E16" s="5" t="inlineStr">
        <is>
          <t>2/3/4</t>
        </is>
      </c>
      <c r="F16" s="5" t="inlineStr">
        <is>
          <t>ISO2 권장</t>
        </is>
      </c>
      <c r="G16" s="5" t="inlineStr">
        <is>
          <t>원산지(FTA/관세에 영향)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6" t="n"/>
    </row>
    <row r="17">
      <c r="A17" s="5" t="inlineStr">
        <is>
          <t>파트너</t>
        </is>
      </c>
      <c r="B17" s="5" t="inlineStr">
        <is>
          <t>importer_name</t>
        </is>
      </c>
      <c r="C17" s="5" t="inlineStr">
        <is>
          <t>수입회사명</t>
        </is>
      </c>
      <c r="D17" s="5" t="inlineStr">
        <is>
          <t>텍스트</t>
        </is>
      </c>
      <c r="E17" s="5" t="inlineStr">
        <is>
          <t>2/4/5</t>
        </is>
      </c>
      <c r="F17" s="5" t="inlineStr"/>
      <c r="G17" s="5" t="inlineStr">
        <is>
          <t>수입자(당사 또는 거래처)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6" t="n"/>
    </row>
    <row r="18">
      <c r="A18" s="5" t="inlineStr">
        <is>
          <t>파트너</t>
        </is>
      </c>
      <c r="B18" s="5" t="inlineStr">
        <is>
          <t>exporter_name</t>
        </is>
      </c>
      <c r="C18" s="5" t="inlineStr">
        <is>
          <t>수출회사명</t>
        </is>
      </c>
      <c r="D18" s="5" t="inlineStr">
        <is>
          <t>텍스트</t>
        </is>
      </c>
      <c r="E18" s="5" t="inlineStr">
        <is>
          <t>3/4/5</t>
        </is>
      </c>
      <c r="F18" s="5" t="inlineStr"/>
      <c r="G18" s="5" t="inlineStr">
        <is>
          <t>수출자(당사 또는 거래처)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6" t="n"/>
    </row>
    <row r="19">
      <c r="A19" s="5" t="inlineStr">
        <is>
          <t>국가/지역</t>
        </is>
      </c>
      <c r="B19" s="5" t="inlineStr">
        <is>
          <t>import_country</t>
        </is>
      </c>
      <c r="C19" s="5" t="inlineStr">
        <is>
          <t>수입국</t>
        </is>
      </c>
      <c r="D19" s="5" t="inlineStr">
        <is>
          <t>텍스트</t>
        </is>
      </c>
      <c r="E19" s="5" t="inlineStr">
        <is>
          <t>5</t>
        </is>
      </c>
      <c r="F19" s="5" t="inlineStr">
        <is>
          <t>ISO2 권장</t>
        </is>
      </c>
      <c r="G19" s="5" t="inlineStr">
        <is>
          <t>우리가 수입해온 국가(상대국)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6" t="n"/>
    </row>
    <row r="20">
      <c r="A20" s="5" t="inlineStr">
        <is>
          <t>국가/지역</t>
        </is>
      </c>
      <c r="B20" s="5" t="inlineStr">
        <is>
          <t>export_country</t>
        </is>
      </c>
      <c r="C20" s="5" t="inlineStr">
        <is>
          <t>수출국</t>
        </is>
      </c>
      <c r="D20" s="5" t="inlineStr">
        <is>
          <t>텍스트</t>
        </is>
      </c>
      <c r="E20" s="5" t="inlineStr">
        <is>
          <t>5</t>
        </is>
      </c>
      <c r="F20" s="5" t="inlineStr">
        <is>
          <t>ISO2 권장</t>
        </is>
      </c>
      <c r="G20" s="5" t="inlineStr">
        <is>
          <t>우리가 수출한 국가(상대국)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6" t="n"/>
    </row>
    <row r="21">
      <c r="A21" s="5" t="inlineStr">
        <is>
          <t>금액/통화</t>
        </is>
      </c>
      <c r="B21" s="5" t="inlineStr">
        <is>
          <t>currency</t>
        </is>
      </c>
      <c r="C21" s="5" t="inlineStr">
        <is>
          <t>통화</t>
        </is>
      </c>
      <c r="D21" s="5" t="inlineStr">
        <is>
          <t>텍스트</t>
        </is>
      </c>
      <c r="E21" s="5" t="inlineStr">
        <is>
          <t>2/3/4</t>
        </is>
      </c>
      <c r="F21" s="5" t="inlineStr">
        <is>
          <t>USD/EUR/KRW...</t>
        </is>
      </c>
      <c r="G21" s="5" t="inlineStr">
        <is>
          <t>문서 통화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6" t="n"/>
    </row>
    <row r="22">
      <c r="A22" s="5" t="inlineStr">
        <is>
          <t>금액/통화</t>
        </is>
      </c>
      <c r="B22" s="5" t="inlineStr">
        <is>
          <t>unit_price</t>
        </is>
      </c>
      <c r="C22" s="5" t="inlineStr">
        <is>
          <t>단가</t>
        </is>
      </c>
      <c r="D22" s="5" t="inlineStr">
        <is>
          <t>숫자</t>
        </is>
      </c>
      <c r="E22" s="5" t="inlineStr">
        <is>
          <t>2/3/4/5</t>
        </is>
      </c>
      <c r="F22" s="5" t="inlineStr">
        <is>
          <t>&gt;=0</t>
        </is>
      </c>
      <c r="G22" s="5" t="inlineStr">
        <is>
          <t>품목 단가(통화 기준)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6" t="n"/>
    </row>
    <row r="23">
      <c r="A23" s="5" t="inlineStr">
        <is>
          <t>금액/통화</t>
        </is>
      </c>
      <c r="B23" s="5" t="inlineStr">
        <is>
          <t>quantity</t>
        </is>
      </c>
      <c r="C23" s="5" t="inlineStr">
        <is>
          <t>개수/수량</t>
        </is>
      </c>
      <c r="D23" s="5" t="inlineStr">
        <is>
          <t>숫자</t>
        </is>
      </c>
      <c r="E23" s="5" t="inlineStr">
        <is>
          <t>2/3/4/5</t>
        </is>
      </c>
      <c r="F23" s="5" t="inlineStr">
        <is>
          <t>&gt;=0</t>
        </is>
      </c>
      <c r="G23" s="5" t="inlineStr">
        <is>
          <t>수량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6" t="n"/>
    </row>
    <row r="24">
      <c r="A24" s="5" t="inlineStr">
        <is>
          <t>금액/통화</t>
        </is>
      </c>
      <c r="B24" s="5" t="inlineStr">
        <is>
          <t>uom</t>
        </is>
      </c>
      <c r="C24" s="5" t="inlineStr">
        <is>
          <t>단위</t>
        </is>
      </c>
      <c r="D24" s="5" t="inlineStr">
        <is>
          <t>텍스트</t>
        </is>
      </c>
      <c r="E24" s="5" t="inlineStr">
        <is>
          <t>2/3/4</t>
        </is>
      </c>
      <c r="F24" s="5" t="inlineStr">
        <is>
          <t>EA/KG/SET...</t>
        </is>
      </c>
      <c r="G24" s="5" t="inlineStr">
        <is>
          <t>수량 단위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6" t="n"/>
    </row>
    <row r="25">
      <c r="A25" s="5" t="inlineStr">
        <is>
          <t>금액/통화</t>
        </is>
      </c>
      <c r="B25" s="5" t="inlineStr">
        <is>
          <t>line_amount</t>
        </is>
      </c>
      <c r="C25" s="5" t="inlineStr">
        <is>
          <t>라인금액</t>
        </is>
      </c>
      <c r="D25" s="5" t="inlineStr">
        <is>
          <t>숫자</t>
        </is>
      </c>
      <c r="E25" s="5" t="inlineStr">
        <is>
          <t>2/3/4</t>
        </is>
      </c>
      <c r="F25" s="5" t="inlineStr">
        <is>
          <t>&gt;=0</t>
        </is>
      </c>
      <c r="G25" s="5" t="inlineStr">
        <is>
          <t>unit_price*quantity (가능하면 ERP 자동)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6" t="n"/>
    </row>
    <row r="26">
      <c r="A26" s="5" t="inlineStr">
        <is>
          <t>금액/통화</t>
        </is>
      </c>
      <c r="B26" s="5" t="inlineStr">
        <is>
          <t>freight</t>
        </is>
      </c>
      <c r="C26" s="5" t="inlineStr">
        <is>
          <t>운임</t>
        </is>
      </c>
      <c r="D26" s="5" t="inlineStr">
        <is>
          <t>숫자</t>
        </is>
      </c>
      <c r="E26" s="5" t="inlineStr">
        <is>
          <t>2/3/4</t>
        </is>
      </c>
      <c r="F26" s="5" t="inlineStr">
        <is>
          <t>&gt;=0</t>
        </is>
      </c>
      <c r="G26" s="5" t="inlineStr">
        <is>
          <t>CIF 등 조건에서 필요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6" t="n"/>
    </row>
    <row r="27">
      <c r="A27" s="5" t="inlineStr">
        <is>
          <t>금액/통화</t>
        </is>
      </c>
      <c r="B27" s="5" t="inlineStr">
        <is>
          <t>insurance</t>
        </is>
      </c>
      <c r="C27" s="5" t="inlineStr">
        <is>
          <t>보험료</t>
        </is>
      </c>
      <c r="D27" s="5" t="inlineStr">
        <is>
          <t>숫자</t>
        </is>
      </c>
      <c r="E27" s="5" t="inlineStr">
        <is>
          <t>2/3/4</t>
        </is>
      </c>
      <c r="F27" s="5" t="inlineStr">
        <is>
          <t>&gt;=0</t>
        </is>
      </c>
      <c r="G27" s="5" t="inlineStr">
        <is>
          <t>CIF 등 조건에서 필요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6" t="n"/>
    </row>
    <row r="28">
      <c r="A28" s="5" t="inlineStr">
        <is>
          <t>금액/통화</t>
        </is>
      </c>
      <c r="B28" s="5" t="inlineStr">
        <is>
          <t>invoice_total</t>
        </is>
      </c>
      <c r="C28" s="5" t="inlineStr">
        <is>
          <t>인보이스총액</t>
        </is>
      </c>
      <c r="D28" s="5" t="inlineStr">
        <is>
          <t>숫자</t>
        </is>
      </c>
      <c r="E28" s="5" t="inlineStr">
        <is>
          <t>2/3/4</t>
        </is>
      </c>
      <c r="F28" s="5" t="inlineStr">
        <is>
          <t>&gt;=0</t>
        </is>
      </c>
      <c r="G28" s="5" t="inlineStr">
        <is>
          <t>문서 기준 총액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6" t="n"/>
    </row>
    <row r="29">
      <c r="A29" s="5" t="inlineStr">
        <is>
          <t>조건</t>
        </is>
      </c>
      <c r="B29" s="5" t="inlineStr">
        <is>
          <t>incoterms</t>
        </is>
      </c>
      <c r="C29" s="5" t="inlineStr">
        <is>
          <t>인코텀즈</t>
        </is>
      </c>
      <c r="D29" s="5" t="inlineStr">
        <is>
          <t>텍스트</t>
        </is>
      </c>
      <c r="E29" s="5" t="inlineStr">
        <is>
          <t>2/3/4</t>
        </is>
      </c>
      <c r="F29" s="5" t="inlineStr">
        <is>
          <t>FOB/CIF/EXW...</t>
        </is>
      </c>
      <c r="G29" s="5" t="inlineStr">
        <is>
          <t>조건(가격구성/리스크)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6" t="n"/>
    </row>
    <row r="30">
      <c r="A30" s="5" t="inlineStr">
        <is>
          <t>조건</t>
        </is>
      </c>
      <c r="B30" s="5" t="inlineStr">
        <is>
          <t>payment_terms</t>
        </is>
      </c>
      <c r="C30" s="5" t="inlineStr">
        <is>
          <t>결제조건</t>
        </is>
      </c>
      <c r="D30" s="5" t="inlineStr">
        <is>
          <t>텍스트</t>
        </is>
      </c>
      <c r="E30" s="5" t="inlineStr">
        <is>
          <t>2/3/4</t>
        </is>
      </c>
      <c r="F30" s="5" t="inlineStr">
        <is>
          <t>T/T, L/C...</t>
        </is>
      </c>
      <c r="G30" s="5" t="inlineStr">
        <is>
          <t>결제 방식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6" t="n"/>
    </row>
    <row r="31">
      <c r="A31" s="5" t="inlineStr">
        <is>
          <t>서류</t>
        </is>
      </c>
      <c r="B31" s="5" t="inlineStr">
        <is>
          <t>ci_no</t>
        </is>
      </c>
      <c r="C31" s="5" t="inlineStr">
        <is>
          <t>C/I 번호</t>
        </is>
      </c>
      <c r="D31" s="5" t="inlineStr">
        <is>
          <t>텍스트</t>
        </is>
      </c>
      <c r="E31" s="5" t="inlineStr">
        <is>
          <t>2/3</t>
        </is>
      </c>
      <c r="F31" s="5" t="inlineStr"/>
      <c r="G31" s="5" t="inlineStr">
        <is>
          <t>Commercial Invoice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6" t="n"/>
    </row>
    <row r="32">
      <c r="A32" s="5" t="inlineStr">
        <is>
          <t>서류</t>
        </is>
      </c>
      <c r="B32" s="5" t="inlineStr">
        <is>
          <t>pl_no</t>
        </is>
      </c>
      <c r="C32" s="5" t="inlineStr">
        <is>
          <t>P/L 번호</t>
        </is>
      </c>
      <c r="D32" s="5" t="inlineStr">
        <is>
          <t>텍스트</t>
        </is>
      </c>
      <c r="E32" s="5" t="inlineStr">
        <is>
          <t>2/3</t>
        </is>
      </c>
      <c r="F32" s="5" t="inlineStr"/>
      <c r="G32" s="5" t="inlineStr">
        <is>
          <t>Packing List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6" t="n"/>
    </row>
    <row r="33">
      <c r="A33" s="5" t="inlineStr">
        <is>
          <t>서류</t>
        </is>
      </c>
      <c r="B33" s="5" t="inlineStr">
        <is>
          <t>bl_no</t>
        </is>
      </c>
      <c r="C33" s="5" t="inlineStr">
        <is>
          <t>B/L 번호</t>
        </is>
      </c>
      <c r="D33" s="5" t="inlineStr">
        <is>
          <t>텍스트</t>
        </is>
      </c>
      <c r="E33" s="5" t="inlineStr">
        <is>
          <t>2/3</t>
        </is>
      </c>
      <c r="F33" s="5" t="inlineStr"/>
      <c r="G33" s="5" t="inlineStr">
        <is>
          <t>Bill of Lading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6" t="n"/>
    </row>
    <row r="34">
      <c r="A34" s="5" t="inlineStr">
        <is>
          <t>서류</t>
        </is>
      </c>
      <c r="B34" s="5" t="inlineStr">
        <is>
          <t>doc_generated_id</t>
        </is>
      </c>
      <c r="C34" s="5" t="inlineStr">
        <is>
          <t>서류생성ID</t>
        </is>
      </c>
      <c r="D34" s="5" t="inlineStr">
        <is>
          <t>텍스트</t>
        </is>
      </c>
      <c r="E34" s="5" t="inlineStr">
        <is>
          <t>4</t>
        </is>
      </c>
      <c r="F34" s="5" t="inlineStr"/>
      <c r="G34" s="5" t="inlineStr">
        <is>
          <t>ERP에서 생성한 서류 식별자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6" t="n"/>
    </row>
    <row r="35">
      <c r="A35" s="5" t="inlineStr">
        <is>
          <t>물류</t>
        </is>
      </c>
      <c r="B35" s="5" t="inlineStr">
        <is>
          <t>loading_port</t>
        </is>
      </c>
      <c r="C35" s="5" t="inlineStr">
        <is>
          <t>선적항(POL)</t>
        </is>
      </c>
      <c r="D35" s="5" t="inlineStr">
        <is>
          <t>텍스트</t>
        </is>
      </c>
      <c r="E35" s="5" t="inlineStr">
        <is>
          <t>2/3</t>
        </is>
      </c>
      <c r="F35" s="5" t="inlineStr"/>
      <c r="G35" s="5" t="inlineStr">
        <is>
          <t>Port of Loading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6" t="n"/>
    </row>
    <row r="36">
      <c r="A36" s="5" t="inlineStr">
        <is>
          <t>물류</t>
        </is>
      </c>
      <c r="B36" s="5" t="inlineStr">
        <is>
          <t>discharge_port</t>
        </is>
      </c>
      <c r="C36" s="5" t="inlineStr">
        <is>
          <t>하역항(POD)</t>
        </is>
      </c>
      <c r="D36" s="5" t="inlineStr">
        <is>
          <t>텍스트</t>
        </is>
      </c>
      <c r="E36" s="5" t="inlineStr">
        <is>
          <t>2/3</t>
        </is>
      </c>
      <c r="F36" s="5" t="inlineStr"/>
      <c r="G36" s="5" t="inlineStr">
        <is>
          <t>Port of Discharge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6" t="n"/>
    </row>
    <row r="37">
      <c r="A37" s="5" t="inlineStr">
        <is>
          <t>물류</t>
        </is>
      </c>
      <c r="B37" s="5" t="inlineStr">
        <is>
          <t>vessel</t>
        </is>
      </c>
      <c r="C37" s="5" t="inlineStr">
        <is>
          <t>선박/항공편</t>
        </is>
      </c>
      <c r="D37" s="5" t="inlineStr">
        <is>
          <t>텍스트</t>
        </is>
      </c>
      <c r="E37" s="5" t="inlineStr">
        <is>
          <t>2/3</t>
        </is>
      </c>
      <c r="F37" s="5" t="inlineStr"/>
      <c r="G37" s="5" t="inlineStr">
        <is>
          <t>Vessel/Voyage/Flight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6" t="n"/>
    </row>
    <row r="38">
      <c r="A38" s="5" t="inlineStr">
        <is>
          <t>물류</t>
        </is>
      </c>
      <c r="B38" s="5" t="inlineStr">
        <is>
          <t>shipment_date</t>
        </is>
      </c>
      <c r="C38" s="5" t="inlineStr">
        <is>
          <t>선적일</t>
        </is>
      </c>
      <c r="D38" s="5" t="inlineStr">
        <is>
          <t>날짜</t>
        </is>
      </c>
      <c r="E38" s="5" t="inlineStr">
        <is>
          <t>5/2/3</t>
        </is>
      </c>
      <c r="F38" s="5" t="inlineStr">
        <is>
          <t>YYYY-MM-DD</t>
        </is>
      </c>
      <c r="G38" s="5" t="inlineStr">
        <is>
          <t>선적일(사용자 입력 가능)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6" t="n"/>
    </row>
    <row r="39">
      <c r="A39" s="5" t="inlineStr">
        <is>
          <t>물류</t>
        </is>
      </c>
      <c r="B39" s="5" t="inlineStr">
        <is>
          <t>discharge_date</t>
        </is>
      </c>
      <c r="C39" s="5" t="inlineStr">
        <is>
          <t>하역일</t>
        </is>
      </c>
      <c r="D39" s="5" t="inlineStr">
        <is>
          <t>날짜</t>
        </is>
      </c>
      <c r="E39" s="5" t="inlineStr">
        <is>
          <t>5/2/3</t>
        </is>
      </c>
      <c r="F39" s="5" t="inlineStr">
        <is>
          <t>YYYY-MM-DD</t>
        </is>
      </c>
      <c r="G39" s="5" t="inlineStr">
        <is>
          <t>하역일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6" t="n"/>
    </row>
    <row r="40">
      <c r="A40" s="5" t="inlineStr">
        <is>
          <t>물류</t>
        </is>
      </c>
      <c r="B40" s="5" t="inlineStr">
        <is>
          <t>etd</t>
        </is>
      </c>
      <c r="C40" s="5" t="inlineStr">
        <is>
          <t>ETD</t>
        </is>
      </c>
      <c r="D40" s="5" t="inlineStr">
        <is>
          <t>날짜</t>
        </is>
      </c>
      <c r="E40" s="5" t="inlineStr">
        <is>
          <t>2/3</t>
        </is>
      </c>
      <c r="F40" s="5" t="inlineStr">
        <is>
          <t>YYYY-MM-DD</t>
        </is>
      </c>
      <c r="G40" s="5" t="inlineStr">
        <is>
          <t>출항예정일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6" t="n"/>
    </row>
    <row r="41">
      <c r="A41" s="5" t="inlineStr">
        <is>
          <t>물류</t>
        </is>
      </c>
      <c r="B41" s="5" t="inlineStr">
        <is>
          <t>eta</t>
        </is>
      </c>
      <c r="C41" s="5" t="inlineStr">
        <is>
          <t>ETA</t>
        </is>
      </c>
      <c r="D41" s="5" t="inlineStr">
        <is>
          <t>날짜</t>
        </is>
      </c>
      <c r="E41" s="5" t="inlineStr">
        <is>
          <t>2/3</t>
        </is>
      </c>
      <c r="F41" s="5" t="inlineStr">
        <is>
          <t>YYYY-MM-DD</t>
        </is>
      </c>
      <c r="G41" s="5" t="inlineStr">
        <is>
          <t>도착예정일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6" t="n"/>
    </row>
    <row r="42">
      <c r="A42" s="5" t="inlineStr">
        <is>
          <t>중량</t>
        </is>
      </c>
      <c r="B42" s="5" t="inlineStr">
        <is>
          <t>gross_weight</t>
        </is>
      </c>
      <c r="C42" s="5" t="inlineStr">
        <is>
          <t>총중량(G.W.)</t>
        </is>
      </c>
      <c r="D42" s="5" t="inlineStr">
        <is>
          <t>숫자</t>
        </is>
      </c>
      <c r="E42" s="5" t="inlineStr">
        <is>
          <t>2/3</t>
        </is>
      </c>
      <c r="F42" s="5" t="inlineStr">
        <is>
          <t>&gt;=0</t>
        </is>
      </c>
      <c r="G42" s="5" t="inlineStr">
        <is>
          <t>중량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6" t="n"/>
    </row>
    <row r="43">
      <c r="A43" s="5" t="inlineStr">
        <is>
          <t>중량</t>
        </is>
      </c>
      <c r="B43" s="5" t="inlineStr">
        <is>
          <t>net_weight</t>
        </is>
      </c>
      <c r="C43" s="5" t="inlineStr">
        <is>
          <t>순중량(N.W.)</t>
        </is>
      </c>
      <c r="D43" s="5" t="inlineStr">
        <is>
          <t>숫자</t>
        </is>
      </c>
      <c r="E43" s="5" t="inlineStr">
        <is>
          <t>2/3</t>
        </is>
      </c>
      <c r="F43" s="5" t="inlineStr">
        <is>
          <t>&gt;=0</t>
        </is>
      </c>
      <c r="G43" s="5" t="inlineStr">
        <is>
          <t>중량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6" t="n"/>
    </row>
    <row r="44">
      <c r="A44" s="5" t="inlineStr">
        <is>
          <t>통관/규정</t>
        </is>
      </c>
      <c r="B44" s="5" t="inlineStr">
        <is>
          <t>customs_decl_no</t>
        </is>
      </c>
      <c r="C44" s="5" t="inlineStr">
        <is>
          <t>수출입신고번호</t>
        </is>
      </c>
      <c r="D44" s="5" t="inlineStr">
        <is>
          <t>텍스트</t>
        </is>
      </c>
      <c r="E44" s="5" t="inlineStr">
        <is>
          <t>2/3/4</t>
        </is>
      </c>
      <c r="F44" s="5" t="inlineStr"/>
      <c r="G44" s="5" t="inlineStr">
        <is>
          <t>통관 신고 번호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6" t="n"/>
    </row>
    <row r="45">
      <c r="A45" s="5" t="inlineStr">
        <is>
          <t>통관/규정</t>
        </is>
      </c>
      <c r="B45" s="5" t="inlineStr">
        <is>
          <t>fta_applicable</t>
        </is>
      </c>
      <c r="C45" s="5" t="inlineStr">
        <is>
          <t>FTA적용여부</t>
        </is>
      </c>
      <c r="D45" s="5" t="inlineStr">
        <is>
          <t>선택</t>
        </is>
      </c>
      <c r="E45" s="5" t="inlineStr">
        <is>
          <t>5</t>
        </is>
      </c>
      <c r="F45" s="5" t="inlineStr">
        <is>
          <t>Y/N</t>
        </is>
      </c>
      <c r="G45" s="5" t="inlineStr">
        <is>
          <t>원산지/협정 기준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6" t="n"/>
    </row>
    <row r="46">
      <c r="A46" s="5" t="inlineStr">
        <is>
          <t>시스템</t>
        </is>
      </c>
      <c r="B46" s="5" t="inlineStr">
        <is>
          <t>source_module</t>
        </is>
      </c>
      <c r="C46" s="5" t="inlineStr">
        <is>
          <t>출처모듈</t>
        </is>
      </c>
      <c r="D46" s="5" t="inlineStr">
        <is>
          <t>텍스트</t>
        </is>
      </c>
      <c r="E46" s="5" t="inlineStr">
        <is>
          <t>1~5</t>
        </is>
      </c>
      <c r="F46" s="5" t="inlineStr"/>
      <c r="G46" s="5" t="inlineStr">
        <is>
          <t>대시보드/수입관리/수출관리/서류생성/거래목록</t>
        </is>
      </c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6" t="n"/>
    </row>
    <row r="47">
      <c r="A47" s="5" t="inlineStr">
        <is>
          <t>시스템</t>
        </is>
      </c>
      <c r="B47" s="5" t="inlineStr">
        <is>
          <t>source_doc_type</t>
        </is>
      </c>
      <c r="C47" s="5" t="inlineStr">
        <is>
          <t>출처서류유형</t>
        </is>
      </c>
      <c r="D47" s="5" t="inlineStr">
        <is>
          <t>텍스트</t>
        </is>
      </c>
      <c r="E47" s="5" t="inlineStr">
        <is>
          <t>2/3/4</t>
        </is>
      </c>
      <c r="F47" s="5" t="inlineStr">
        <is>
          <t>CI/PL/BL</t>
        </is>
      </c>
      <c r="G47" s="5" t="inlineStr">
        <is>
          <t>데이터 추출 문서 유형</t>
        </is>
      </c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6" t="n"/>
    </row>
    <row r="48">
      <c r="A48" s="5" t="inlineStr">
        <is>
          <t>시스템</t>
        </is>
      </c>
      <c r="B48" s="5" t="inlineStr">
        <is>
          <t>created_at</t>
        </is>
      </c>
      <c r="C48" s="5" t="inlineStr">
        <is>
          <t>생성일시</t>
        </is>
      </c>
      <c r="D48" s="5" t="inlineStr">
        <is>
          <t>일시</t>
        </is>
      </c>
      <c r="E48" s="5" t="inlineStr">
        <is>
          <t>ERP</t>
        </is>
      </c>
      <c r="F48" s="5" t="inlineStr">
        <is>
          <t>YYYY-MM-DD hh:mm</t>
        </is>
      </c>
      <c r="G48" s="5" t="inlineStr">
        <is>
          <t>자동</t>
        </is>
      </c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6" t="n"/>
    </row>
    <row r="49">
      <c r="A49" s="5" t="inlineStr">
        <is>
          <t>시스템</t>
        </is>
      </c>
      <c r="B49" s="5" t="inlineStr">
        <is>
          <t>updated_at</t>
        </is>
      </c>
      <c r="C49" s="5" t="inlineStr">
        <is>
          <t>수정일시</t>
        </is>
      </c>
      <c r="D49" s="5" t="inlineStr">
        <is>
          <t>일시</t>
        </is>
      </c>
      <c r="E49" s="5" t="inlineStr">
        <is>
          <t>ERP</t>
        </is>
      </c>
      <c r="F49" s="5" t="inlineStr">
        <is>
          <t>YYYY-MM-DD hh:mm</t>
        </is>
      </c>
      <c r="G49" s="5" t="inlineStr">
        <is>
          <t>자동</t>
        </is>
      </c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6" t="n"/>
    </row>
    <row r="52">
      <c r="A52" s="2" t="inlineStr">
        <is>
          <t>거래/서류 데이터 입력 테이블 (여기에 입력/자동적재)</t>
        </is>
      </c>
    </row>
    <row r="53" ht="36" customHeight="1">
      <c r="A53" s="4" t="inlineStr">
        <is>
          <t>거래ID
(trade_id)</t>
        </is>
      </c>
      <c r="B53" s="4" t="inlineStr">
        <is>
          <t>수입/수출
(direction)</t>
        </is>
      </c>
      <c r="C53" s="4" t="inlineStr">
        <is>
          <t>거래일
(trade_date)</t>
        </is>
      </c>
      <c r="D53" s="4" t="inlineStr">
        <is>
          <t>상태
(status)</t>
        </is>
      </c>
      <c r="E53" s="4" t="inlineStr">
        <is>
          <t>라인
(item_line_no)</t>
        </is>
      </c>
      <c r="F53" s="4" t="inlineStr">
        <is>
          <t>물품명
(item_name)</t>
        </is>
      </c>
      <c r="G53" s="4" t="inlineStr">
        <is>
          <t>HS
(hscode)</t>
        </is>
      </c>
      <c r="H53" s="4" t="inlineStr">
        <is>
          <t>원산지
(origin_country)</t>
        </is>
      </c>
      <c r="I53" s="4" t="inlineStr">
        <is>
          <t>수입회사
(importer_name)</t>
        </is>
      </c>
      <c r="J53" s="4" t="inlineStr">
        <is>
          <t>수출회사
(exporter_name)</t>
        </is>
      </c>
      <c r="K53" s="4" t="inlineStr">
        <is>
          <t>수입국
(import_country)</t>
        </is>
      </c>
      <c r="L53" s="4" t="inlineStr">
        <is>
          <t>수출국
(export_country)</t>
        </is>
      </c>
      <c r="M53" s="4" t="inlineStr">
        <is>
          <t>인코텀즈
(incoterms)</t>
        </is>
      </c>
      <c r="N53" s="4" t="inlineStr">
        <is>
          <t>통화
(currency)</t>
        </is>
      </c>
      <c r="O53" s="4" t="inlineStr">
        <is>
          <t>단가
(unit_price)</t>
        </is>
      </c>
      <c r="P53" s="4" t="inlineStr">
        <is>
          <t>수량
(quantity)</t>
        </is>
      </c>
      <c r="Q53" s="4" t="inlineStr">
        <is>
          <t>단위
(uom)</t>
        </is>
      </c>
      <c r="R53" s="4" t="inlineStr">
        <is>
          <t>라인금액
(line_amount)</t>
        </is>
      </c>
      <c r="S53" s="4" t="inlineStr">
        <is>
          <t>운임
(freight)</t>
        </is>
      </c>
      <c r="T53" s="4" t="inlineStr">
        <is>
          <t>보험
(insurance)</t>
        </is>
      </c>
      <c r="U53" s="4" t="inlineStr">
        <is>
          <t>인보이스총액
(invoice_total)</t>
        </is>
      </c>
      <c r="V53" s="4" t="inlineStr">
        <is>
          <t>C/I
(ci_no)</t>
        </is>
      </c>
      <c r="W53" s="4" t="inlineStr">
        <is>
          <t>P/L
(pl_no)</t>
        </is>
      </c>
      <c r="X53" s="4" t="inlineStr">
        <is>
          <t>B/L
(bl_no)</t>
        </is>
      </c>
      <c r="Y53" s="4" t="inlineStr">
        <is>
          <t>POL
(loading_port)</t>
        </is>
      </c>
      <c r="Z53" s="4" t="inlineStr">
        <is>
          <t>POD
(discharge_port)</t>
        </is>
      </c>
      <c r="AA53" s="4" t="inlineStr">
        <is>
          <t>선박/편명
(vessel)</t>
        </is>
      </c>
      <c r="AB53" s="4" t="inlineStr">
        <is>
          <t>선적일
(shipment_date)</t>
        </is>
      </c>
      <c r="AC53" s="4" t="inlineStr">
        <is>
          <t>하역일
(discharge_date)</t>
        </is>
      </c>
      <c r="AD53" s="4" t="inlineStr">
        <is>
          <t>ETD
(etd)</t>
        </is>
      </c>
      <c r="AE53" s="4" t="inlineStr">
        <is>
          <t>ETA
(eta)</t>
        </is>
      </c>
      <c r="AF53" s="4" t="inlineStr">
        <is>
          <t>G.W.
(gross_weight)</t>
        </is>
      </c>
      <c r="AG53" s="4" t="inlineStr">
        <is>
          <t>N.W.
(net_weight)</t>
        </is>
      </c>
      <c r="AH53" s="4" t="inlineStr">
        <is>
          <t>신고번호
(customs_decl_no)</t>
        </is>
      </c>
      <c r="AI53" s="4" t="inlineStr">
        <is>
          <t>FTA
(fta_applicable)</t>
        </is>
      </c>
      <c r="AJ53" s="4" t="inlineStr">
        <is>
          <t>출처
(source_module)</t>
        </is>
      </c>
      <c r="AK53" s="4" t="inlineStr">
        <is>
          <t>서류유형
(source_doc_type)</t>
        </is>
      </c>
      <c r="AL53" s="4" t="inlineStr">
        <is>
          <t>생성일시
(created_at)</t>
        </is>
      </c>
      <c r="AM53" s="4" t="inlineStr">
        <is>
          <t>수정일시
(updated_at)</t>
        </is>
      </c>
      <c r="AN53" t="inlineStr">
        <is>
          <t>중요
(is_important)</t>
        </is>
      </c>
      <c r="AO53" t="inlineStr">
        <is>
          <t>메모
(notes)</t>
        </is>
      </c>
    </row>
    <row r="54">
      <c r="A54" s="5" t="inlineStr">
        <is>
          <t>IMP-20260201-001</t>
        </is>
      </c>
      <c r="B54" s="6" t="inlineStr">
        <is>
          <t>수입</t>
        </is>
      </c>
      <c r="C54" s="6" t="inlineStr">
        <is>
          <t>2026-02-01</t>
        </is>
      </c>
      <c r="D54" s="6" t="inlineStr">
        <is>
          <t>open</t>
        </is>
      </c>
      <c r="E54" s="6" t="n">
        <v>1</v>
      </c>
      <c r="F54" s="6" t="inlineStr">
        <is>
          <t>반도체 칩</t>
        </is>
      </c>
      <c r="G54" s="6" t="inlineStr">
        <is>
          <t>8542310000</t>
        </is>
      </c>
      <c r="H54" s="6" t="inlineStr">
        <is>
          <t>CN</t>
        </is>
      </c>
      <c r="I54" s="6" t="inlineStr">
        <is>
          <t>Samsung Electronics</t>
        </is>
      </c>
      <c r="J54" s="6" t="inlineStr">
        <is>
          <t>Shenzhen Tech</t>
        </is>
      </c>
      <c r="K54" s="6" t="inlineStr">
        <is>
          <t>CN</t>
        </is>
      </c>
      <c r="L54" s="6" t="inlineStr">
        <is>
          <t>KR</t>
        </is>
      </c>
      <c r="M54" s="6" t="inlineStr">
        <is>
          <t>FOB</t>
        </is>
      </c>
      <c r="N54" s="6" t="inlineStr">
        <is>
          <t>USD</t>
        </is>
      </c>
      <c r="O54" s="6" t="n">
        <v>403</v>
      </c>
      <c r="P54" s="6" t="n">
        <v>8600</v>
      </c>
      <c r="Q54" s="6" t="inlineStr">
        <is>
          <t>EA</t>
        </is>
      </c>
      <c r="R54" s="6" t="n">
        <v>3465800</v>
      </c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inlineStr">
        <is>
          <t>2026-02-04 02:01:57</t>
        </is>
      </c>
      <c r="AM54" s="5" t="inlineStr">
        <is>
          <t>2026-02-04 02:01:57</t>
        </is>
      </c>
    </row>
    <row r="55">
      <c r="A55" s="5" t="inlineStr">
        <is>
          <t>EXP-20260201-002</t>
        </is>
      </c>
      <c r="B55" s="6" t="inlineStr">
        <is>
          <t>수출</t>
        </is>
      </c>
      <c r="C55" s="6" t="inlineStr">
        <is>
          <t>2025-11-28</t>
        </is>
      </c>
      <c r="D55" s="6" t="inlineStr">
        <is>
          <t>open</t>
        </is>
      </c>
      <c r="E55" s="6" t="n">
        <v>1</v>
      </c>
      <c r="F55" s="6" t="inlineStr">
        <is>
          <t>LCD 패널</t>
        </is>
      </c>
      <c r="G55" s="6" t="inlineStr">
        <is>
          <t>9013801000</t>
        </is>
      </c>
      <c r="H55" s="6" t="inlineStr">
        <is>
          <t>JP</t>
        </is>
      </c>
      <c r="I55" s="6" t="inlineStr">
        <is>
          <t>LG Display</t>
        </is>
      </c>
      <c r="J55" s="6" t="inlineStr">
        <is>
          <t>Sharp Corp</t>
        </is>
      </c>
      <c r="K55" s="6" t="inlineStr">
        <is>
          <t>KR</t>
        </is>
      </c>
      <c r="L55" s="6" t="inlineStr">
        <is>
          <t>JP</t>
        </is>
      </c>
      <c r="M55" s="6" t="inlineStr">
        <is>
          <t>FOB</t>
        </is>
      </c>
      <c r="N55" s="6" t="inlineStr">
        <is>
          <t>USD</t>
        </is>
      </c>
      <c r="O55" s="6" t="n">
        <v>23</v>
      </c>
      <c r="P55" s="6" t="n">
        <v>5223</v>
      </c>
      <c r="Q55" s="6" t="inlineStr">
        <is>
          <t>EA</t>
        </is>
      </c>
      <c r="R55" s="6" t="n">
        <v>120129</v>
      </c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inlineStr">
        <is>
          <t>2026-02-04 02:01:57</t>
        </is>
      </c>
      <c r="AM55" s="5" t="inlineStr">
        <is>
          <t>2026-02-04 02:01:57</t>
        </is>
      </c>
    </row>
    <row r="56">
      <c r="A56" s="5" t="inlineStr">
        <is>
          <t>IMP-20260201-003</t>
        </is>
      </c>
      <c r="B56" s="6" t="inlineStr">
        <is>
          <t>수입</t>
        </is>
      </c>
      <c r="C56" s="6" t="inlineStr">
        <is>
          <t>2025-12-18</t>
        </is>
      </c>
      <c r="D56" s="6" t="inlineStr">
        <is>
          <t>open</t>
        </is>
      </c>
      <c r="E56" s="6" t="n">
        <v>1</v>
      </c>
      <c r="F56" s="6" t="inlineStr">
        <is>
          <t>배터리 셀</t>
        </is>
      </c>
      <c r="G56" s="6" t="inlineStr">
        <is>
          <t>8507600000</t>
        </is>
      </c>
      <c r="H56" s="6" t="inlineStr">
        <is>
          <t>VN</t>
        </is>
      </c>
      <c r="I56" s="6" t="inlineStr">
        <is>
          <t>SK On</t>
        </is>
      </c>
      <c r="J56" s="6" t="inlineStr">
        <is>
          <t>VN Battery</t>
        </is>
      </c>
      <c r="K56" s="6" t="inlineStr">
        <is>
          <t>VN</t>
        </is>
      </c>
      <c r="L56" s="6" t="inlineStr">
        <is>
          <t>KR</t>
        </is>
      </c>
      <c r="M56" s="6" t="inlineStr">
        <is>
          <t>FOB</t>
        </is>
      </c>
      <c r="N56" s="6" t="inlineStr">
        <is>
          <t>USD</t>
        </is>
      </c>
      <c r="O56" s="6" t="n">
        <v>332</v>
      </c>
      <c r="P56" s="6" t="n">
        <v>963</v>
      </c>
      <c r="Q56" s="6" t="inlineStr">
        <is>
          <t>EA</t>
        </is>
      </c>
      <c r="R56" s="6" t="n">
        <v>319716</v>
      </c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inlineStr">
        <is>
          <t>2026-02-04 02:01:57</t>
        </is>
      </c>
      <c r="AM56" s="5" t="inlineStr">
        <is>
          <t>2026-02-04 02:01:57</t>
        </is>
      </c>
    </row>
    <row r="57">
      <c r="A57" s="5" t="inlineStr">
        <is>
          <t>EXP-20260201-004</t>
        </is>
      </c>
      <c r="B57" s="6" t="inlineStr">
        <is>
          <t>수출</t>
        </is>
      </c>
      <c r="C57" s="6" t="inlineStr">
        <is>
          <t>2025-08-16</t>
        </is>
      </c>
      <c r="D57" s="6" t="inlineStr">
        <is>
          <t>open</t>
        </is>
      </c>
      <c r="E57" s="6" t="n">
        <v>1</v>
      </c>
      <c r="F57" s="6" t="inlineStr">
        <is>
          <t>모터 부품</t>
        </is>
      </c>
      <c r="G57" s="6" t="inlineStr">
        <is>
          <t>8501320000</t>
        </is>
      </c>
      <c r="H57" s="6" t="inlineStr">
        <is>
          <t>DE</t>
        </is>
      </c>
      <c r="I57" s="6" t="inlineStr">
        <is>
          <t>Hyundai Mobis</t>
        </is>
      </c>
      <c r="J57" s="6" t="inlineStr">
        <is>
          <t>Bosch</t>
        </is>
      </c>
      <c r="K57" s="6" t="inlineStr">
        <is>
          <t>KR</t>
        </is>
      </c>
      <c r="L57" s="6" t="inlineStr">
        <is>
          <t>DE</t>
        </is>
      </c>
      <c r="M57" s="6" t="inlineStr">
        <is>
          <t>FOB</t>
        </is>
      </c>
      <c r="N57" s="6" t="inlineStr">
        <is>
          <t>USD</t>
        </is>
      </c>
      <c r="O57" s="6" t="n">
        <v>39</v>
      </c>
      <c r="P57" s="6" t="n">
        <v>1771</v>
      </c>
      <c r="Q57" s="6" t="inlineStr">
        <is>
          <t>EA</t>
        </is>
      </c>
      <c r="R57" s="6" t="n">
        <v>69069</v>
      </c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inlineStr">
        <is>
          <t>2026-02-04 02:01:57</t>
        </is>
      </c>
      <c r="AM57" s="5" t="inlineStr">
        <is>
          <t>2026-02-04 02:01:57</t>
        </is>
      </c>
    </row>
    <row r="58">
      <c r="A58" s="5" t="inlineStr">
        <is>
          <t>IMP-20260201-005</t>
        </is>
      </c>
      <c r="B58" s="6" t="inlineStr">
        <is>
          <t>수입</t>
        </is>
      </c>
      <c r="C58" s="6" t="inlineStr">
        <is>
          <t>2025-12-14</t>
        </is>
      </c>
      <c r="D58" s="6" t="inlineStr">
        <is>
          <t>open</t>
        </is>
      </c>
      <c r="E58" s="6" t="n">
        <v>1</v>
      </c>
      <c r="F58" s="6" t="inlineStr">
        <is>
          <t>플라스틱 원료</t>
        </is>
      </c>
      <c r="G58" s="6" t="inlineStr">
        <is>
          <t>3901100000</t>
        </is>
      </c>
      <c r="H58" s="6" t="inlineStr">
        <is>
          <t>US</t>
        </is>
      </c>
      <c r="I58" s="6" t="inlineStr">
        <is>
          <t>한화솔루션</t>
        </is>
      </c>
      <c r="J58" s="6" t="inlineStr">
        <is>
          <t>Dow Chemical</t>
        </is>
      </c>
      <c r="K58" s="6" t="inlineStr">
        <is>
          <t>US</t>
        </is>
      </c>
      <c r="L58" s="6" t="inlineStr">
        <is>
          <t>KR</t>
        </is>
      </c>
      <c r="M58" s="6" t="inlineStr">
        <is>
          <t>FOB</t>
        </is>
      </c>
      <c r="N58" s="6" t="inlineStr">
        <is>
          <t>USD</t>
        </is>
      </c>
      <c r="O58" s="6" t="n">
        <v>129</v>
      </c>
      <c r="P58" s="6" t="n">
        <v>1549</v>
      </c>
      <c r="Q58" s="6" t="inlineStr">
        <is>
          <t>EA</t>
        </is>
      </c>
      <c r="R58" s="6" t="n">
        <v>199821</v>
      </c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inlineStr">
        <is>
          <t>2026-02-04 02:01:57</t>
        </is>
      </c>
      <c r="AM58" s="5" t="inlineStr">
        <is>
          <t>2026-02-04 02:01:57</t>
        </is>
      </c>
    </row>
    <row r="59">
      <c r="A59" s="5" t="inlineStr">
        <is>
          <t>EXP-20260201-006</t>
        </is>
      </c>
      <c r="B59" s="6" t="inlineStr">
        <is>
          <t>수출</t>
        </is>
      </c>
      <c r="C59" s="6" t="inlineStr">
        <is>
          <t>2026-01-11</t>
        </is>
      </c>
      <c r="D59" s="6" t="inlineStr">
        <is>
          <t>open</t>
        </is>
      </c>
      <c r="E59" s="6" t="n">
        <v>1</v>
      </c>
      <c r="F59" s="6" t="inlineStr">
        <is>
          <t>반도체 칩</t>
        </is>
      </c>
      <c r="G59" s="6" t="inlineStr">
        <is>
          <t>8542310000</t>
        </is>
      </c>
      <c r="H59" s="6" t="inlineStr">
        <is>
          <t>CN</t>
        </is>
      </c>
      <c r="I59" s="6" t="inlineStr">
        <is>
          <t>Samsung Electronics</t>
        </is>
      </c>
      <c r="J59" s="6" t="inlineStr">
        <is>
          <t>Shenzhen Tech</t>
        </is>
      </c>
      <c r="K59" s="6" t="inlineStr">
        <is>
          <t>KR</t>
        </is>
      </c>
      <c r="L59" s="6" t="inlineStr">
        <is>
          <t>CN</t>
        </is>
      </c>
      <c r="M59" s="6" t="inlineStr">
        <is>
          <t>FOB</t>
        </is>
      </c>
      <c r="N59" s="6" t="inlineStr">
        <is>
          <t>USD</t>
        </is>
      </c>
      <c r="O59" s="6" t="n">
        <v>398</v>
      </c>
      <c r="P59" s="6" t="inlineStr">
        <is>
          <t>7102</t>
        </is>
      </c>
      <c r="Q59" s="6" t="inlineStr">
        <is>
          <t>EA</t>
        </is>
      </c>
      <c r="R59" s="6" t="n">
        <v>2826596</v>
      </c>
      <c r="S59" s="6" t="n"/>
      <c r="T59" s="6" t="n"/>
      <c r="U59" s="6" t="n"/>
      <c r="V59" s="6" t="n"/>
      <c r="W59" s="6" t="n"/>
      <c r="X59" s="6" t="inlineStr"/>
      <c r="Y59" s="6" t="inlineStr"/>
      <c r="Z59" s="6" t="inlineStr"/>
      <c r="AA59" s="6" t="inlineStr"/>
      <c r="AB59" s="6" t="n"/>
      <c r="AC59" s="6" t="n"/>
      <c r="AD59" s="6" t="n"/>
      <c r="AE59" s="6" t="n"/>
      <c r="AF59" s="6" t="inlineStr"/>
      <c r="AG59" s="6" t="inlineStr"/>
      <c r="AH59" s="6" t="n"/>
      <c r="AI59" s="6" t="n"/>
      <c r="AJ59" s="6" t="n"/>
      <c r="AK59" s="6" t="n"/>
      <c r="AL59" s="6" t="inlineStr">
        <is>
          <t>2026-02-04 02:01:57</t>
        </is>
      </c>
      <c r="AM59" s="5" t="inlineStr">
        <is>
          <t>2026-02-05 18:03:37</t>
        </is>
      </c>
    </row>
    <row r="60">
      <c r="A60" s="5" t="inlineStr">
        <is>
          <t>IMP-20260201-007</t>
        </is>
      </c>
      <c r="B60" s="6" t="inlineStr">
        <is>
          <t>수입</t>
        </is>
      </c>
      <c r="C60" s="6" t="inlineStr">
        <is>
          <t>2025-09-01</t>
        </is>
      </c>
      <c r="D60" s="6" t="inlineStr">
        <is>
          <t>open</t>
        </is>
      </c>
      <c r="E60" s="6" t="n">
        <v>1</v>
      </c>
      <c r="F60" s="6" t="inlineStr">
        <is>
          <t>LCD 패널</t>
        </is>
      </c>
      <c r="G60" s="6" t="inlineStr">
        <is>
          <t>9013801000</t>
        </is>
      </c>
      <c r="H60" s="6" t="inlineStr">
        <is>
          <t>JP</t>
        </is>
      </c>
      <c r="I60" s="6" t="inlineStr">
        <is>
          <t>LG Display</t>
        </is>
      </c>
      <c r="J60" s="6" t="inlineStr">
        <is>
          <t>Sharp Corp</t>
        </is>
      </c>
      <c r="K60" s="6" t="inlineStr">
        <is>
          <t>JP</t>
        </is>
      </c>
      <c r="L60" s="6" t="inlineStr">
        <is>
          <t>KR</t>
        </is>
      </c>
      <c r="M60" s="6" t="inlineStr">
        <is>
          <t>FOB</t>
        </is>
      </c>
      <c r="N60" s="6" t="inlineStr">
        <is>
          <t>USD</t>
        </is>
      </c>
      <c r="O60" s="6" t="n">
        <v>187</v>
      </c>
      <c r="P60" s="6" t="n">
        <v>8019</v>
      </c>
      <c r="Q60" s="6" t="inlineStr">
        <is>
          <t>EA</t>
        </is>
      </c>
      <c r="R60" s="6" t="n">
        <v>1499553</v>
      </c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inlineStr">
        <is>
          <t>2026-02-04 02:01:57</t>
        </is>
      </c>
      <c r="AM60" s="5" t="inlineStr">
        <is>
          <t>2026-02-04 02:01:57</t>
        </is>
      </c>
    </row>
    <row r="61">
      <c r="A61" s="5" t="inlineStr">
        <is>
          <t>EXP-20260201-008</t>
        </is>
      </c>
      <c r="B61" s="6" t="inlineStr">
        <is>
          <t>수출</t>
        </is>
      </c>
      <c r="C61" s="6" t="inlineStr">
        <is>
          <t>2025-08-26</t>
        </is>
      </c>
      <c r="D61" s="6" t="inlineStr">
        <is>
          <t>open</t>
        </is>
      </c>
      <c r="E61" s="6" t="n">
        <v>1</v>
      </c>
      <c r="F61" s="6" t="inlineStr">
        <is>
          <t>배터리 셀</t>
        </is>
      </c>
      <c r="G61" s="6" t="inlineStr">
        <is>
          <t>8507600000</t>
        </is>
      </c>
      <c r="H61" s="6" t="inlineStr">
        <is>
          <t>VN</t>
        </is>
      </c>
      <c r="I61" s="6" t="inlineStr">
        <is>
          <t>SK On</t>
        </is>
      </c>
      <c r="J61" s="6" t="inlineStr">
        <is>
          <t>VN Battery</t>
        </is>
      </c>
      <c r="K61" s="6" t="inlineStr">
        <is>
          <t>KR</t>
        </is>
      </c>
      <c r="L61" s="6" t="inlineStr">
        <is>
          <t>VN</t>
        </is>
      </c>
      <c r="M61" s="6" t="inlineStr">
        <is>
          <t>FOB</t>
        </is>
      </c>
      <c r="N61" s="6" t="inlineStr">
        <is>
          <t>USD</t>
        </is>
      </c>
      <c r="O61" s="6" t="n">
        <v>46</v>
      </c>
      <c r="P61" s="6" t="n">
        <v>9767</v>
      </c>
      <c r="Q61" s="6" t="inlineStr">
        <is>
          <t>EA</t>
        </is>
      </c>
      <c r="R61" s="6" t="n">
        <v>449282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inlineStr">
        <is>
          <t>2026-02-04 02:01:57</t>
        </is>
      </c>
      <c r="AM61" s="5" t="inlineStr">
        <is>
          <t>2026-02-04 02:01:57</t>
        </is>
      </c>
    </row>
    <row r="62">
      <c r="A62" s="5" t="inlineStr">
        <is>
          <t>IMP-20260201-009</t>
        </is>
      </c>
      <c r="B62" s="6" t="inlineStr">
        <is>
          <t>수입</t>
        </is>
      </c>
      <c r="C62" s="6" t="inlineStr">
        <is>
          <t>2025-11-07</t>
        </is>
      </c>
      <c r="D62" s="6" t="inlineStr">
        <is>
          <t>open</t>
        </is>
      </c>
      <c r="E62" s="6" t="n">
        <v>1</v>
      </c>
      <c r="F62" s="6" t="inlineStr">
        <is>
          <t>모터 부품</t>
        </is>
      </c>
      <c r="G62" s="6" t="inlineStr">
        <is>
          <t>8501320000</t>
        </is>
      </c>
      <c r="H62" s="6" t="inlineStr">
        <is>
          <t>DE</t>
        </is>
      </c>
      <c r="I62" s="6" t="inlineStr">
        <is>
          <t>Hyundai Mobis</t>
        </is>
      </c>
      <c r="J62" s="6" t="inlineStr">
        <is>
          <t>Bosch</t>
        </is>
      </c>
      <c r="K62" s="6" t="inlineStr">
        <is>
          <t>DE</t>
        </is>
      </c>
      <c r="L62" s="6" t="inlineStr">
        <is>
          <t>KR</t>
        </is>
      </c>
      <c r="M62" s="6" t="inlineStr">
        <is>
          <t>FOB</t>
        </is>
      </c>
      <c r="N62" s="6" t="inlineStr">
        <is>
          <t>USD</t>
        </is>
      </c>
      <c r="O62" s="6" t="n">
        <v>498</v>
      </c>
      <c r="P62" s="6" t="n">
        <v>9184</v>
      </c>
      <c r="Q62" s="6" t="inlineStr">
        <is>
          <t>EA</t>
        </is>
      </c>
      <c r="R62" s="6" t="n">
        <v>4573632</v>
      </c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inlineStr">
        <is>
          <t>2026-02-04 02:01:57</t>
        </is>
      </c>
      <c r="AM62" s="5" t="inlineStr">
        <is>
          <t>2026-02-04 02:01:57</t>
        </is>
      </c>
    </row>
    <row r="63">
      <c r="A63" s="5" t="inlineStr">
        <is>
          <t>EXP-20260201-010</t>
        </is>
      </c>
      <c r="B63" s="6" t="inlineStr">
        <is>
          <t>수출</t>
        </is>
      </c>
      <c r="C63" s="6" t="inlineStr">
        <is>
          <t>2026-01-08</t>
        </is>
      </c>
      <c r="D63" s="6" t="inlineStr">
        <is>
          <t>open</t>
        </is>
      </c>
      <c r="E63" s="6" t="n">
        <v>1</v>
      </c>
      <c r="F63" s="6" t="inlineStr">
        <is>
          <t>플라스틱 원료</t>
        </is>
      </c>
      <c r="G63" s="6" t="inlineStr">
        <is>
          <t>3901100000</t>
        </is>
      </c>
      <c r="H63" s="6" t="inlineStr">
        <is>
          <t>US</t>
        </is>
      </c>
      <c r="I63" s="6" t="inlineStr">
        <is>
          <t>한화솔루션</t>
        </is>
      </c>
      <c r="J63" s="6" t="inlineStr">
        <is>
          <t>Dow Chemical</t>
        </is>
      </c>
      <c r="K63" s="6" t="inlineStr">
        <is>
          <t>KR</t>
        </is>
      </c>
      <c r="L63" s="6" t="inlineStr">
        <is>
          <t>US</t>
        </is>
      </c>
      <c r="M63" s="6" t="inlineStr">
        <is>
          <t>FOB</t>
        </is>
      </c>
      <c r="N63" s="6" t="inlineStr">
        <is>
          <t>USD</t>
        </is>
      </c>
      <c r="O63" s="6" t="n">
        <v>17</v>
      </c>
      <c r="P63" s="6" t="n">
        <v>5855</v>
      </c>
      <c r="Q63" s="6" t="inlineStr">
        <is>
          <t>EA</t>
        </is>
      </c>
      <c r="R63" s="6" t="n">
        <v>99535</v>
      </c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inlineStr">
        <is>
          <t>2026-02-04 02:01:57</t>
        </is>
      </c>
      <c r="AM63" s="5" t="inlineStr">
        <is>
          <t>2026-02-04 02:01:57</t>
        </is>
      </c>
    </row>
    <row r="64">
      <c r="A64" s="5" t="inlineStr">
        <is>
          <t>IMP-20260204-001</t>
        </is>
      </c>
      <c r="B64" s="6" t="inlineStr">
        <is>
          <t>수입</t>
        </is>
      </c>
      <c r="C64" s="6" t="inlineStr">
        <is>
          <t>2026-02-04</t>
        </is>
      </c>
      <c r="D64" s="6" t="inlineStr">
        <is>
          <t>open</t>
        </is>
      </c>
      <c r="E64" s="6" t="n">
        <v>1</v>
      </c>
      <c r="F64" s="6" t="inlineStr">
        <is>
          <t>카다이프건면</t>
        </is>
      </c>
      <c r="G64" s="6" t="inlineStr">
        <is>
          <t>1909.19-9000</t>
        </is>
      </c>
      <c r="H64" s="6" t="inlineStr">
        <is>
          <t>UAE</t>
        </is>
      </c>
      <c r="I64" s="6" t="inlineStr"/>
      <c r="J64" s="6" t="inlineStr"/>
      <c r="K64" s="6" t="inlineStr"/>
      <c r="L64" s="6" t="inlineStr"/>
      <c r="M64" s="6" t="inlineStr">
        <is>
          <t>FOB</t>
        </is>
      </c>
      <c r="N64" s="6" t="inlineStr">
        <is>
          <t>USD</t>
        </is>
      </c>
      <c r="O64" s="6" t="n">
        <v>10</v>
      </c>
      <c r="P64" s="6" t="n">
        <v>100</v>
      </c>
      <c r="Q64" s="6" t="inlineStr">
        <is>
          <t>EA</t>
        </is>
      </c>
      <c r="R64" s="6" t="n">
        <v>1000</v>
      </c>
      <c r="S64" s="6" t="n">
        <v>0</v>
      </c>
      <c r="T64" s="6" t="n">
        <v>0</v>
      </c>
      <c r="U64" s="6" t="n">
        <v>0</v>
      </c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n">
        <v>0</v>
      </c>
      <c r="AG64" s="6" t="n">
        <v>0</v>
      </c>
      <c r="AH64" s="6" t="inlineStr"/>
      <c r="AI64" s="6" t="inlineStr">
        <is>
          <t>N</t>
        </is>
      </c>
      <c r="AJ64" s="6" t="inlineStr">
        <is>
          <t>수입관리</t>
        </is>
      </c>
      <c r="AK64" s="6" t="inlineStr"/>
      <c r="AL64" s="6" t="inlineStr">
        <is>
          <t>2026-02-04 11:12:57</t>
        </is>
      </c>
      <c r="AM64" s="5" t="inlineStr">
        <is>
          <t>2026-02-04 18:02:51</t>
        </is>
      </c>
      <c r="AN64" t="b">
        <v>1</v>
      </c>
    </row>
    <row r="65">
      <c r="A65" s="5" t="inlineStr">
        <is>
          <t>EXP-20260204-001</t>
        </is>
      </c>
      <c r="B65" s="6" t="inlineStr">
        <is>
          <t>수출</t>
        </is>
      </c>
      <c r="C65" s="6" t="inlineStr">
        <is>
          <t>2026-02-04</t>
        </is>
      </c>
      <c r="D65" s="6" t="inlineStr">
        <is>
          <t>open</t>
        </is>
      </c>
      <c r="E65" s="6" t="n">
        <v>1</v>
      </c>
      <c r="F65" s="6" t="inlineStr">
        <is>
          <t>두바이 쫀득 쿠키</t>
        </is>
      </c>
      <c r="G65" s="6" t="inlineStr">
        <is>
          <t>1901029000</t>
        </is>
      </c>
      <c r="H65" s="6" t="inlineStr"/>
      <c r="I65" s="6" t="inlineStr"/>
      <c r="J65" s="6" t="inlineStr"/>
      <c r="K65" s="6" t="inlineStr">
        <is>
          <t>UAE</t>
        </is>
      </c>
      <c r="L65" s="6" t="inlineStr"/>
      <c r="M65" s="6" t="inlineStr">
        <is>
          <t>FOB</t>
        </is>
      </c>
      <c r="N65" s="6" t="inlineStr">
        <is>
          <t>USD</t>
        </is>
      </c>
      <c r="O65" s="6" t="n">
        <v>12</v>
      </c>
      <c r="P65" s="6" t="n">
        <v>1000</v>
      </c>
      <c r="Q65" s="6" t="inlineStr">
        <is>
          <t>EA</t>
        </is>
      </c>
      <c r="R65" s="6" t="n">
        <v>12000</v>
      </c>
      <c r="S65" s="6" t="n">
        <v>0</v>
      </c>
      <c r="T65" s="6" t="n">
        <v>0</v>
      </c>
      <c r="U65" s="6" t="n">
        <v>0</v>
      </c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n">
        <v>0</v>
      </c>
      <c r="AG65" s="6" t="n">
        <v>0</v>
      </c>
      <c r="AH65" s="6" t="inlineStr"/>
      <c r="AI65" s="6" t="inlineStr">
        <is>
          <t>N</t>
        </is>
      </c>
      <c r="AJ65" s="6" t="inlineStr">
        <is>
          <t>수출관리</t>
        </is>
      </c>
      <c r="AK65" s="6" t="inlineStr"/>
      <c r="AL65" s="6" t="inlineStr">
        <is>
          <t>2026-02-04 18:14:07</t>
        </is>
      </c>
      <c r="AM65" s="5" t="inlineStr">
        <is>
          <t>2026-02-04 18:14:07</t>
        </is>
      </c>
    </row>
    <row r="66">
      <c r="A66" s="5" t="inlineStr">
        <is>
          <t>IMP-20260204-002</t>
        </is>
      </c>
      <c r="B66" s="6" t="inlineStr">
        <is>
          <t>수입</t>
        </is>
      </c>
      <c r="C66" s="6" t="inlineStr">
        <is>
          <t>2026-02-04</t>
        </is>
      </c>
      <c r="D66" s="6" t="inlineStr">
        <is>
          <t>open</t>
        </is>
      </c>
      <c r="E66" s="6" t="n">
        <v>1</v>
      </c>
      <c r="F66" s="6" t="inlineStr">
        <is>
          <t>빅파이</t>
        </is>
      </c>
      <c r="G66" s="6" t="inlineStr">
        <is>
          <t>1111111111</t>
        </is>
      </c>
      <c r="H66" s="6" t="inlineStr">
        <is>
          <t>KOR</t>
        </is>
      </c>
      <c r="I66" s="6" t="inlineStr"/>
      <c r="J66" s="6" t="inlineStr"/>
      <c r="K66" s="6" t="inlineStr"/>
      <c r="L66" s="6" t="inlineStr"/>
      <c r="M66" s="6" t="inlineStr">
        <is>
          <t>FOB</t>
        </is>
      </c>
      <c r="N66" s="6" t="inlineStr">
        <is>
          <t>USD</t>
        </is>
      </c>
      <c r="O66" s="6" t="n">
        <v>10</v>
      </c>
      <c r="P66" s="6" t="n">
        <v>1</v>
      </c>
      <c r="Q66" s="6" t="inlineStr">
        <is>
          <t>EA</t>
        </is>
      </c>
      <c r="R66" s="6" t="n">
        <v>10</v>
      </c>
      <c r="S66" s="6" t="n">
        <v>0</v>
      </c>
      <c r="T66" s="6" t="n">
        <v>0</v>
      </c>
      <c r="U66" s="6" t="n">
        <v>0</v>
      </c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n">
        <v>0</v>
      </c>
      <c r="AG66" s="6" t="n">
        <v>0</v>
      </c>
      <c r="AH66" s="6" t="inlineStr"/>
      <c r="AI66" s="6" t="inlineStr">
        <is>
          <t>N</t>
        </is>
      </c>
      <c r="AJ66" s="6" t="inlineStr">
        <is>
          <t>수입관리</t>
        </is>
      </c>
      <c r="AK66" s="6" t="inlineStr"/>
      <c r="AL66" s="6" t="inlineStr">
        <is>
          <t>2026-02-04 19:46:54</t>
        </is>
      </c>
      <c r="AM66" s="5" t="inlineStr">
        <is>
          <t>2026-02-04 19:46:54</t>
        </is>
      </c>
    </row>
    <row r="67">
      <c r="A67" s="5" t="inlineStr">
        <is>
          <t>EXP-20260204-002</t>
        </is>
      </c>
      <c r="B67" s="6" t="inlineStr">
        <is>
          <t>수출</t>
        </is>
      </c>
      <c r="C67" s="6" t="inlineStr">
        <is>
          <t>2026-02-04</t>
        </is>
      </c>
      <c r="D67" s="6" t="inlineStr">
        <is>
          <t>open</t>
        </is>
      </c>
      <c r="E67" s="6" t="n">
        <v>1</v>
      </c>
      <c r="F67" s="6" t="inlineStr">
        <is>
          <t>빅파이</t>
        </is>
      </c>
      <c r="G67" s="6" t="inlineStr">
        <is>
          <t>1111111111</t>
        </is>
      </c>
      <c r="H67" s="6" t="inlineStr"/>
      <c r="I67" s="6" t="inlineStr"/>
      <c r="J67" s="6" t="inlineStr"/>
      <c r="K67" s="6" t="inlineStr">
        <is>
          <t>US</t>
        </is>
      </c>
      <c r="L67" s="6" t="inlineStr"/>
      <c r="M67" s="6" t="inlineStr">
        <is>
          <t>FOB</t>
        </is>
      </c>
      <c r="N67" s="6" t="inlineStr">
        <is>
          <t>USD</t>
        </is>
      </c>
      <c r="O67" s="6" t="n">
        <v>1</v>
      </c>
      <c r="P67" s="6" t="inlineStr">
        <is>
          <t>1</t>
        </is>
      </c>
      <c r="Q67" s="6" t="inlineStr">
        <is>
          <t>EA</t>
        </is>
      </c>
      <c r="R67" s="6" t="n">
        <v>1</v>
      </c>
      <c r="S67" s="6" t="n">
        <v>0</v>
      </c>
      <c r="T67" s="6" t="n">
        <v>0</v>
      </c>
      <c r="U67" s="6" t="n">
        <v>0</v>
      </c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>
        <is>
          <t>0.0</t>
        </is>
      </c>
      <c r="AG67" s="6" t="inlineStr">
        <is>
          <t>0.0</t>
        </is>
      </c>
      <c r="AH67" s="6" t="inlineStr"/>
      <c r="AI67" s="6" t="inlineStr">
        <is>
          <t>N</t>
        </is>
      </c>
      <c r="AJ67" s="6" t="inlineStr">
        <is>
          <t>수출관리</t>
        </is>
      </c>
      <c r="AK67" s="6" t="inlineStr"/>
      <c r="AL67" s="6" t="inlineStr">
        <is>
          <t>2026-02-04 19:47:08</t>
        </is>
      </c>
      <c r="AM67" s="5" t="inlineStr">
        <is>
          <t>2026-02-04 19:47:54</t>
        </is>
      </c>
      <c r="AN67" t="b">
        <v>1</v>
      </c>
    </row>
    <row r="68">
      <c r="A68" s="5" t="inlineStr">
        <is>
          <t>IMP-20260205-001</t>
        </is>
      </c>
      <c r="B68" s="6" t="inlineStr">
        <is>
          <t>수입</t>
        </is>
      </c>
      <c r="C68" s="6" t="inlineStr">
        <is>
          <t>2026-02-05</t>
        </is>
      </c>
      <c r="D68" s="6" t="inlineStr">
        <is>
          <t>open</t>
        </is>
      </c>
      <c r="E68" s="6" t="n">
        <v>1</v>
      </c>
      <c r="F68" s="6" t="inlineStr">
        <is>
          <t>OREGANO HOJA</t>
        </is>
      </c>
      <c r="G68" s="6" t="inlineStr">
        <is>
          <t>12119010</t>
        </is>
      </c>
      <c r="H68" s="6" t="inlineStr">
        <is>
          <t>Brazil</t>
        </is>
      </c>
      <c r="I68" s="6" t="inlineStr">
        <is>
          <t>T&amp;T DISTRIBUIDORA DE ALIMENTOS LTDA</t>
        </is>
      </c>
      <c r="J68" s="6" t="inlineStr">
        <is>
          <t>ESPECIARIAS DEL SUR S.A.C.</t>
        </is>
      </c>
      <c r="K68" s="6" t="inlineStr"/>
      <c r="L68" s="6" t="inlineStr"/>
      <c r="M68" s="6" t="inlineStr">
        <is>
          <t>FOB</t>
        </is>
      </c>
      <c r="N68" s="6" t="inlineStr">
        <is>
          <t>USD</t>
        </is>
      </c>
      <c r="O68" s="6" t="n">
        <v>2670</v>
      </c>
      <c r="P68" s="6" t="n">
        <v>9000</v>
      </c>
      <c r="Q68" s="6" t="inlineStr">
        <is>
          <t>KGM</t>
        </is>
      </c>
      <c r="R68" s="6" t="n">
        <v>24030000</v>
      </c>
      <c r="S68" s="6" t="n">
        <v>0</v>
      </c>
      <c r="T68" s="6" t="n">
        <v>0</v>
      </c>
      <c r="U68" s="6" t="n">
        <v>0</v>
      </c>
      <c r="V68" s="6" t="inlineStr"/>
      <c r="W68" s="6" t="inlineStr"/>
      <c r="X68" s="6" t="inlineStr">
        <is>
          <t>HLCUSCL160362878</t>
        </is>
      </c>
      <c r="Y68" s="6" t="inlineStr"/>
      <c r="Z68" s="6" t="inlineStr"/>
      <c r="AA68" s="6" t="inlineStr">
        <is>
          <t>NORDIC MACAU</t>
        </is>
      </c>
      <c r="AB68" s="6" t="inlineStr"/>
      <c r="AC68" s="6" t="inlineStr"/>
      <c r="AD68" s="6" t="inlineStr"/>
      <c r="AE68" s="6" t="inlineStr"/>
      <c r="AF68" s="6" t="n">
        <v>0</v>
      </c>
      <c r="AG68" s="6" t="n">
        <v>0</v>
      </c>
      <c r="AH68" s="6" t="inlineStr"/>
      <c r="AI68" s="6" t="inlineStr">
        <is>
          <t>N</t>
        </is>
      </c>
      <c r="AJ68" s="6" t="inlineStr">
        <is>
          <t>수입관리</t>
        </is>
      </c>
      <c r="AK68" s="6" t="inlineStr"/>
      <c r="AL68" s="6" t="inlineStr">
        <is>
          <t>2026-02-05 11:00:52</t>
        </is>
      </c>
      <c r="AM68" s="5" t="inlineStr">
        <is>
          <t>2026-02-05 11:00:52</t>
        </is>
      </c>
    </row>
    <row r="69">
      <c r="A69" s="5" t="inlineStr">
        <is>
          <t>EXP-20260205-001</t>
        </is>
      </c>
      <c r="B69" s="6" t="inlineStr">
        <is>
          <t>수출</t>
        </is>
      </c>
      <c r="C69" s="6" t="inlineStr">
        <is>
          <t>2026-02-05</t>
        </is>
      </c>
      <c r="D69" s="6" t="inlineStr">
        <is>
          <t>open</t>
        </is>
      </c>
      <c r="E69" s="6" t="n">
        <v>1</v>
      </c>
      <c r="F69" s="6" t="inlineStr">
        <is>
          <t>KADAIF DRY NOODLES</t>
        </is>
      </c>
      <c r="G69" s="6" t="inlineStr">
        <is>
          <t>1902199000</t>
        </is>
      </c>
      <c r="H69" s="6" t="inlineStr"/>
      <c r="I69" s="6" t="inlineStr">
        <is>
          <t>Moon S Co., Ltd.</t>
        </is>
      </c>
      <c r="J69" s="6" t="inlineStr">
        <is>
          <t>Dubai Wheat Masters LLC</t>
        </is>
      </c>
      <c r="K69" s="6" t="inlineStr">
        <is>
          <t>Korea</t>
        </is>
      </c>
      <c r="L69" s="6" t="inlineStr"/>
      <c r="M69" s="6" t="inlineStr">
        <is>
          <t>FOB</t>
        </is>
      </c>
      <c r="N69" s="6" t="inlineStr">
        <is>
          <t>USD</t>
        </is>
      </c>
      <c r="O69" s="6" t="n">
        <v>150000</v>
      </c>
      <c r="P69" s="6" t="n">
        <v>10000</v>
      </c>
      <c r="Q69" s="6" t="inlineStr">
        <is>
          <t>EA</t>
        </is>
      </c>
      <c r="R69" s="6" t="n">
        <v>1500000000</v>
      </c>
      <c r="S69" s="6" t="n">
        <v>0</v>
      </c>
      <c r="T69" s="6" t="n">
        <v>0</v>
      </c>
      <c r="U69" s="6" t="n">
        <v>0</v>
      </c>
      <c r="V69" s="6" t="inlineStr"/>
      <c r="W69" s="6" t="inlineStr"/>
      <c r="X69" s="6" t="inlineStr"/>
      <c r="Y69" s="6" t="inlineStr"/>
      <c r="Z69" s="6" t="inlineStr"/>
      <c r="AA69" s="6" t="inlineStr">
        <is>
          <t>HMM</t>
        </is>
      </c>
      <c r="AB69" s="6" t="inlineStr"/>
      <c r="AC69" s="6" t="inlineStr"/>
      <c r="AD69" s="6" t="inlineStr"/>
      <c r="AE69" s="6" t="inlineStr"/>
      <c r="AF69" s="6" t="n">
        <v>0</v>
      </c>
      <c r="AG69" s="6" t="n">
        <v>0</v>
      </c>
      <c r="AH69" s="6" t="inlineStr"/>
      <c r="AI69" s="6" t="inlineStr">
        <is>
          <t>N</t>
        </is>
      </c>
      <c r="AJ69" s="6" t="inlineStr">
        <is>
          <t>수출관리</t>
        </is>
      </c>
      <c r="AK69" s="6" t="inlineStr"/>
      <c r="AL69" s="6" t="inlineStr">
        <is>
          <t>2026-02-05 11:01:24</t>
        </is>
      </c>
      <c r="AM69" s="5" t="inlineStr">
        <is>
          <t>2026-02-05 11:01:24</t>
        </is>
      </c>
    </row>
    <row r="70">
      <c r="A70" s="5" t="inlineStr">
        <is>
          <t>EXP-20260205-002</t>
        </is>
      </c>
      <c r="B70" s="6" t="inlineStr">
        <is>
          <t>수출</t>
        </is>
      </c>
      <c r="C70" s="6" t="inlineStr">
        <is>
          <t>2026-02-05</t>
        </is>
      </c>
      <c r="D70" s="6" t="inlineStr">
        <is>
          <t>open</t>
        </is>
      </c>
      <c r="E70" s="6" t="n">
        <v>1</v>
      </c>
      <c r="F70" s="6" t="inlineStr">
        <is>
          <t>KADAIF DRY NOODLES</t>
        </is>
      </c>
      <c r="G70" s="6" t="inlineStr">
        <is>
          <t>1902199000</t>
        </is>
      </c>
      <c r="H70" s="6" t="inlineStr"/>
      <c r="I70" s="6" t="inlineStr">
        <is>
          <t>Moon S Co., Ltd.</t>
        </is>
      </c>
      <c r="J70" s="6" t="inlineStr">
        <is>
          <t>Dubai Wheat Masters LLC</t>
        </is>
      </c>
      <c r="K70" s="6" t="inlineStr">
        <is>
          <t>Korea</t>
        </is>
      </c>
      <c r="L70" s="6" t="inlineStr"/>
      <c r="M70" s="6" t="inlineStr">
        <is>
          <t>FOB</t>
        </is>
      </c>
      <c r="N70" s="6" t="inlineStr">
        <is>
          <t>USD</t>
        </is>
      </c>
      <c r="O70" s="6" t="n">
        <v>150000</v>
      </c>
      <c r="P70" s="6" t="n">
        <v>10000</v>
      </c>
      <c r="Q70" s="6" t="inlineStr">
        <is>
          <t>EA</t>
        </is>
      </c>
      <c r="R70" s="6" t="n">
        <v>1500000000</v>
      </c>
      <c r="S70" s="6" t="n">
        <v>0</v>
      </c>
      <c r="T70" s="6" t="n">
        <v>0</v>
      </c>
      <c r="U70" s="6" t="n">
        <v>0</v>
      </c>
      <c r="V70" s="6" t="inlineStr"/>
      <c r="W70" s="6" t="inlineStr"/>
      <c r="X70" s="6" t="inlineStr"/>
      <c r="Y70" s="6" t="inlineStr"/>
      <c r="Z70" s="6" t="inlineStr"/>
      <c r="AA70" s="6" t="inlineStr">
        <is>
          <t>HMM</t>
        </is>
      </c>
      <c r="AB70" s="6" t="inlineStr"/>
      <c r="AC70" s="6" t="inlineStr"/>
      <c r="AD70" s="6" t="inlineStr"/>
      <c r="AE70" s="6" t="inlineStr"/>
      <c r="AF70" s="6" t="n">
        <v>0</v>
      </c>
      <c r="AG70" s="6" t="n">
        <v>0</v>
      </c>
      <c r="AH70" s="6" t="inlineStr"/>
      <c r="AI70" s="6" t="inlineStr">
        <is>
          <t>N</t>
        </is>
      </c>
      <c r="AJ70" s="6" t="inlineStr">
        <is>
          <t>수출관리</t>
        </is>
      </c>
      <c r="AK70" s="6" t="inlineStr"/>
      <c r="AL70" s="6" t="inlineStr">
        <is>
          <t>2026-02-05 11:06:40</t>
        </is>
      </c>
      <c r="AM70" s="5" t="inlineStr">
        <is>
          <t>2026-02-05 18:35:22</t>
        </is>
      </c>
      <c r="AN70" t="b">
        <v>1</v>
      </c>
    </row>
    <row r="71">
      <c r="A71" s="5" t="inlineStr">
        <is>
          <t>EXP-20260205-003</t>
        </is>
      </c>
      <c r="B71" s="6" t="inlineStr">
        <is>
          <t>수출</t>
        </is>
      </c>
      <c r="C71" s="6" t="inlineStr">
        <is>
          <t>2026-02-05</t>
        </is>
      </c>
      <c r="D71" s="6" t="inlineStr">
        <is>
          <t>open</t>
        </is>
      </c>
      <c r="E71" s="6" t="n">
        <v>1</v>
      </c>
      <c r="F71" s="6" t="inlineStr">
        <is>
          <t>OREGANO HOJA</t>
        </is>
      </c>
      <c r="G71" s="6" t="inlineStr">
        <is>
          <t>12119010</t>
        </is>
      </c>
      <c r="H71" s="6" t="inlineStr"/>
      <c r="I71" s="6" t="inlineStr">
        <is>
          <t>T&amp;T DISTRIBUIDORA DE ALIMENTOS LTDA</t>
        </is>
      </c>
      <c r="J71" s="6" t="inlineStr">
        <is>
          <t>ESPECIERIAS DEL SUR S.A.C.</t>
        </is>
      </c>
      <c r="K71" s="6" t="inlineStr">
        <is>
          <t>Brazil</t>
        </is>
      </c>
      <c r="L71" s="6" t="inlineStr"/>
      <c r="M71" s="6" t="inlineStr">
        <is>
          <t>FOB</t>
        </is>
      </c>
      <c r="N71" s="6" t="inlineStr">
        <is>
          <t>USD</t>
        </is>
      </c>
      <c r="O71" s="6" t="n">
        <v>2670</v>
      </c>
      <c r="P71" s="6" t="n">
        <v>9000</v>
      </c>
      <c r="Q71" s="6" t="inlineStr">
        <is>
          <t>EA</t>
        </is>
      </c>
      <c r="R71" s="6" t="n">
        <v>24030000</v>
      </c>
      <c r="S71" s="6" t="n">
        <v>0</v>
      </c>
      <c r="T71" s="6" t="n">
        <v>0</v>
      </c>
      <c r="U71" s="6" t="n">
        <v>0</v>
      </c>
      <c r="V71" s="6" t="inlineStr"/>
      <c r="W71" s="6" t="inlineStr"/>
      <c r="X71" s="6" t="inlineStr"/>
      <c r="Y71" s="6" t="inlineStr"/>
      <c r="Z71" s="6" t="inlineStr"/>
      <c r="AA71" s="6" t="inlineStr">
        <is>
          <t>NORDIC MACAU</t>
        </is>
      </c>
      <c r="AB71" s="6" t="inlineStr"/>
      <c r="AC71" s="6" t="inlineStr"/>
      <c r="AD71" s="6" t="inlineStr"/>
      <c r="AE71" s="6" t="inlineStr"/>
      <c r="AF71" s="6" t="n">
        <v>0</v>
      </c>
      <c r="AG71" s="6" t="n">
        <v>0</v>
      </c>
      <c r="AH71" s="6" t="inlineStr"/>
      <c r="AI71" s="6" t="inlineStr">
        <is>
          <t>N</t>
        </is>
      </c>
      <c r="AJ71" s="6" t="inlineStr">
        <is>
          <t>수출관리</t>
        </is>
      </c>
      <c r="AK71" s="6" t="inlineStr"/>
      <c r="AL71" s="6" t="inlineStr">
        <is>
          <t>2026-02-05 11:38:47</t>
        </is>
      </c>
      <c r="AM71" s="5" t="inlineStr">
        <is>
          <t>2026-02-05 11:38:47</t>
        </is>
      </c>
    </row>
    <row r="72">
      <c r="A72" s="5" t="inlineStr">
        <is>
          <t>IMP-20260205-002</t>
        </is>
      </c>
      <c r="B72" s="6" t="inlineStr">
        <is>
          <t>수입</t>
        </is>
      </c>
      <c r="C72" s="6" t="inlineStr">
        <is>
          <t>2026-02-05</t>
        </is>
      </c>
      <c r="D72" s="6" t="inlineStr">
        <is>
          <t>open</t>
        </is>
      </c>
      <c r="E72" s="6" t="n">
        <v>1</v>
      </c>
      <c r="F72" s="6" t="inlineStr">
        <is>
          <t>KADAIF DRY NOODLES</t>
        </is>
      </c>
      <c r="G72" s="6" t="inlineStr">
        <is>
          <t>1902199000</t>
        </is>
      </c>
      <c r="H72" s="6" t="inlineStr">
        <is>
          <t>Korea</t>
        </is>
      </c>
      <c r="I72" s="6" t="inlineStr">
        <is>
          <t>Moon S Co., Ltd.</t>
        </is>
      </c>
      <c r="J72" s="6" t="inlineStr">
        <is>
          <t>Dubai Wheat Masters LLC</t>
        </is>
      </c>
      <c r="K72" s="6" t="inlineStr"/>
      <c r="L72" s="6" t="inlineStr"/>
      <c r="M72" s="6" t="inlineStr">
        <is>
          <t>CIF</t>
        </is>
      </c>
      <c r="N72" s="6" t="inlineStr">
        <is>
          <t>USD</t>
        </is>
      </c>
      <c r="O72" s="6" t="n">
        <v>150000</v>
      </c>
      <c r="P72" s="6" t="n">
        <v>10000</v>
      </c>
      <c r="Q72" s="6" t="inlineStr">
        <is>
          <t>EA</t>
        </is>
      </c>
      <c r="R72" s="6" t="n">
        <v>1500000000</v>
      </c>
      <c r="S72" s="6" t="n">
        <v>0</v>
      </c>
      <c r="T72" s="6" t="n">
        <v>0</v>
      </c>
      <c r="U72" s="6" t="n">
        <v>0</v>
      </c>
      <c r="V72" s="6" t="inlineStr"/>
      <c r="W72" s="6" t="inlineStr"/>
      <c r="X72" s="6" t="n"/>
      <c r="Y72" s="6" t="inlineStr"/>
      <c r="Z72" s="6" t="inlineStr"/>
      <c r="AA72" s="6" t="inlineStr">
        <is>
          <t>HMM</t>
        </is>
      </c>
      <c r="AB72" s="6" t="inlineStr"/>
      <c r="AC72" s="6" t="inlineStr"/>
      <c r="AD72" s="6" t="inlineStr"/>
      <c r="AE72" s="6" t="inlineStr"/>
      <c r="AF72" s="6" t="n">
        <v>0</v>
      </c>
      <c r="AG72" s="6" t="n">
        <v>0</v>
      </c>
      <c r="AH72" s="6" t="inlineStr"/>
      <c r="AI72" s="6" t="inlineStr">
        <is>
          <t>N</t>
        </is>
      </c>
      <c r="AJ72" s="6" t="inlineStr">
        <is>
          <t>수입관리</t>
        </is>
      </c>
      <c r="AK72" s="6" t="inlineStr"/>
      <c r="AL72" s="6" t="inlineStr">
        <is>
          <t>2026-02-05 21:13:06</t>
        </is>
      </c>
      <c r="AM72" s="5" t="inlineStr">
        <is>
          <t>2026-02-05 21:13:06</t>
        </is>
      </c>
    </row>
    <row r="73">
      <c r="A73" s="5" t="inlineStr">
        <is>
          <t>EXP-20260205-004</t>
        </is>
      </c>
      <c r="B73" s="6" t="inlineStr">
        <is>
          <t>수출</t>
        </is>
      </c>
      <c r="C73" s="6" t="inlineStr">
        <is>
          <t>2026-02-05</t>
        </is>
      </c>
      <c r="D73" s="6" t="inlineStr">
        <is>
          <t>open</t>
        </is>
      </c>
      <c r="E73" s="6" t="n">
        <v>1</v>
      </c>
      <c r="F73" s="6" t="inlineStr">
        <is>
          <t>KADAIF DRY NOODLES</t>
        </is>
      </c>
      <c r="G73" s="6" t="inlineStr">
        <is>
          <t>1902199000</t>
        </is>
      </c>
      <c r="H73" s="6" t="inlineStr"/>
      <c r="I73" s="6" t="inlineStr">
        <is>
          <t>Moon S Co., Ltd.</t>
        </is>
      </c>
      <c r="J73" s="6" t="inlineStr">
        <is>
          <t>Dubai Wheat Masters LLC</t>
        </is>
      </c>
      <c r="K73" s="6" t="inlineStr">
        <is>
          <t>Korea</t>
        </is>
      </c>
      <c r="L73" s="6" t="inlineStr"/>
      <c r="M73" s="6" t="inlineStr">
        <is>
          <t>FOB</t>
        </is>
      </c>
      <c r="N73" s="6" t="inlineStr">
        <is>
          <t>USD</t>
        </is>
      </c>
      <c r="O73" s="6" t="n">
        <v>150000</v>
      </c>
      <c r="P73" s="6" t="n">
        <v>10000</v>
      </c>
      <c r="Q73" s="6" t="inlineStr">
        <is>
          <t>EA</t>
        </is>
      </c>
      <c r="R73" s="6" t="n">
        <v>1500000000</v>
      </c>
      <c r="S73" s="6" t="n">
        <v>0</v>
      </c>
      <c r="T73" s="6" t="n">
        <v>0</v>
      </c>
      <c r="U73" s="6" t="n">
        <v>0</v>
      </c>
      <c r="V73" s="6" t="inlineStr"/>
      <c r="W73" s="6" t="inlineStr"/>
      <c r="X73" s="6" t="inlineStr"/>
      <c r="Y73" s="6" t="inlineStr"/>
      <c r="Z73" s="6" t="inlineStr"/>
      <c r="AA73" s="6" t="inlineStr">
        <is>
          <t>HMM</t>
        </is>
      </c>
      <c r="AB73" s="6" t="inlineStr"/>
      <c r="AC73" s="6" t="inlineStr"/>
      <c r="AD73" s="6" t="inlineStr"/>
      <c r="AE73" s="6" t="inlineStr"/>
      <c r="AF73" s="6" t="n">
        <v>0</v>
      </c>
      <c r="AG73" s="6" t="n">
        <v>0</v>
      </c>
      <c r="AH73" s="6" t="inlineStr"/>
      <c r="AI73" s="6" t="inlineStr">
        <is>
          <t>N</t>
        </is>
      </c>
      <c r="AJ73" s="6" t="inlineStr">
        <is>
          <t>수출관리</t>
        </is>
      </c>
      <c r="AK73" s="6" t="inlineStr"/>
      <c r="AL73" s="6" t="inlineStr">
        <is>
          <t>2026-02-05 21:13:45</t>
        </is>
      </c>
      <c r="AM73" s="5" t="inlineStr">
        <is>
          <t>2026-02-05 21:13:45</t>
        </is>
      </c>
    </row>
    <row r="74">
      <c r="A74" s="5" t="inlineStr">
        <is>
          <t>EXP-20260205-005</t>
        </is>
      </c>
      <c r="B74" s="6" t="inlineStr">
        <is>
          <t>수출</t>
        </is>
      </c>
      <c r="C74" s="6" t="inlineStr">
        <is>
          <t>2026-02-05</t>
        </is>
      </c>
      <c r="D74" s="6" t="inlineStr">
        <is>
          <t>open</t>
        </is>
      </c>
      <c r="E74" s="6" t="n">
        <v>1</v>
      </c>
      <c r="F74" s="6" t="inlineStr">
        <is>
          <t>KADAIF DRY NOODLES</t>
        </is>
      </c>
      <c r="G74" s="6" t="inlineStr">
        <is>
          <t>1902199000</t>
        </is>
      </c>
      <c r="H74" s="6" t="inlineStr"/>
      <c r="I74" s="6" t="inlineStr">
        <is>
          <t>Moon S Co., Ltd.</t>
        </is>
      </c>
      <c r="J74" s="6" t="inlineStr">
        <is>
          <t>Dubai Wheat Masters LLC</t>
        </is>
      </c>
      <c r="K74" s="6" t="inlineStr">
        <is>
          <t>Korea</t>
        </is>
      </c>
      <c r="L74" s="6" t="inlineStr"/>
      <c r="M74" s="6" t="inlineStr">
        <is>
          <t>FOB</t>
        </is>
      </c>
      <c r="N74" s="6" t="inlineStr">
        <is>
          <t>USD</t>
        </is>
      </c>
      <c r="O74" s="6" t="n">
        <v>150000</v>
      </c>
      <c r="P74" s="6" t="n">
        <v>10000</v>
      </c>
      <c r="Q74" s="6" t="inlineStr">
        <is>
          <t>EA</t>
        </is>
      </c>
      <c r="R74" s="6" t="n">
        <v>1500000000</v>
      </c>
      <c r="S74" s="6" t="n">
        <v>0</v>
      </c>
      <c r="T74" s="6" t="n">
        <v>0</v>
      </c>
      <c r="U74" s="6" t="n">
        <v>0</v>
      </c>
      <c r="V74" s="6" t="inlineStr"/>
      <c r="W74" s="6" t="inlineStr"/>
      <c r="X74" s="6" t="inlineStr"/>
      <c r="Y74" s="6" t="inlineStr"/>
      <c r="Z74" s="6" t="inlineStr"/>
      <c r="AA74" s="6" t="inlineStr">
        <is>
          <t>HMM</t>
        </is>
      </c>
      <c r="AB74" s="6" t="inlineStr"/>
      <c r="AC74" s="6" t="inlineStr"/>
      <c r="AD74" s="6" t="inlineStr"/>
      <c r="AE74" s="6" t="inlineStr"/>
      <c r="AF74" s="6" t="n">
        <v>0</v>
      </c>
      <c r="AG74" s="6" t="n">
        <v>0</v>
      </c>
      <c r="AH74" s="6" t="inlineStr"/>
      <c r="AI74" s="6" t="inlineStr">
        <is>
          <t>N</t>
        </is>
      </c>
      <c r="AJ74" s="6" t="inlineStr">
        <is>
          <t>수출관리</t>
        </is>
      </c>
      <c r="AK74" s="6" t="inlineStr"/>
      <c r="AL74" s="6" t="inlineStr">
        <is>
          <t>2026-02-05 21:14:15</t>
        </is>
      </c>
      <c r="AM74" s="5" t="inlineStr">
        <is>
          <t>2026-02-05 21:14:15</t>
        </is>
      </c>
    </row>
    <row r="75">
      <c r="A75" s="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5" t="n"/>
    </row>
    <row r="76">
      <c r="A76" s="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5" t="n"/>
    </row>
    <row r="77">
      <c r="A77" s="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5" t="n"/>
    </row>
    <row r="78">
      <c r="A78" s="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5" t="n"/>
    </row>
    <row r="79">
      <c r="A79" s="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5" t="n"/>
    </row>
    <row r="80">
      <c r="A80" s="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5" t="n"/>
    </row>
    <row r="81">
      <c r="A81" s="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5" t="n"/>
    </row>
    <row r="82">
      <c r="A82" s="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5" t="n"/>
    </row>
    <row r="83">
      <c r="A83" s="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5" t="n"/>
    </row>
    <row r="84">
      <c r="A84" s="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5" t="n"/>
    </row>
    <row r="85">
      <c r="A85" s="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5" t="n"/>
    </row>
    <row r="86">
      <c r="A86" s="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5" t="n"/>
    </row>
    <row r="87">
      <c r="A87" s="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5" t="n"/>
    </row>
    <row r="88">
      <c r="A88" s="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5" t="n"/>
    </row>
    <row r="89">
      <c r="A89" s="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5" t="n"/>
    </row>
    <row r="90">
      <c r="A90" s="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5" t="n"/>
    </row>
    <row r="91">
      <c r="A91" s="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5" t="n"/>
    </row>
    <row r="92">
      <c r="A92" s="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5" t="n"/>
    </row>
    <row r="93">
      <c r="A93" s="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5" t="n"/>
    </row>
    <row r="94">
      <c r="A94" s="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5" t="n"/>
    </row>
    <row r="95">
      <c r="A95" s="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5" t="n"/>
    </row>
    <row r="96">
      <c r="A96" s="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5" t="n"/>
    </row>
    <row r="97">
      <c r="A97" s="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5" t="n"/>
    </row>
    <row r="98">
      <c r="A98" s="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5" t="n"/>
    </row>
    <row r="99">
      <c r="A99" s="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5" t="n"/>
    </row>
    <row r="100">
      <c r="A100" s="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5" t="n"/>
    </row>
    <row r="101">
      <c r="A101" s="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5" t="n"/>
    </row>
    <row r="102">
      <c r="A102" s="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5" t="n"/>
    </row>
    <row r="103">
      <c r="A103" s="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5" t="n"/>
    </row>
    <row r="104">
      <c r="A104" s="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5" t="n"/>
    </row>
    <row r="105">
      <c r="A105" s="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5" t="n"/>
    </row>
    <row r="106">
      <c r="A106" s="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5" t="n"/>
    </row>
    <row r="107">
      <c r="A107" s="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5" t="n"/>
    </row>
    <row r="108">
      <c r="A108" s="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5" t="n"/>
    </row>
    <row r="109">
      <c r="A109" s="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5" t="n"/>
    </row>
    <row r="110">
      <c r="A110" s="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5" t="n"/>
    </row>
    <row r="111">
      <c r="A111" s="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5" t="n"/>
    </row>
    <row r="112">
      <c r="A112" s="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5" t="n"/>
    </row>
    <row r="113">
      <c r="A113" s="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5" t="n"/>
    </row>
    <row r="114">
      <c r="A114" s="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5" t="n"/>
    </row>
    <row r="115">
      <c r="A115" s="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5" t="n"/>
    </row>
    <row r="116">
      <c r="A116" s="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5" t="n"/>
    </row>
    <row r="117">
      <c r="A117" s="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5" t="n"/>
    </row>
    <row r="118">
      <c r="A118" s="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5" t="n"/>
    </row>
    <row r="119">
      <c r="A119" s="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5" t="n"/>
    </row>
    <row r="120">
      <c r="A120" s="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5" t="n"/>
    </row>
    <row r="121">
      <c r="A121" s="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5" t="n"/>
    </row>
    <row r="122">
      <c r="A122" s="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5" t="n"/>
    </row>
    <row r="123">
      <c r="A123" s="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5" t="n"/>
    </row>
    <row r="124">
      <c r="A124" s="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5" t="n"/>
    </row>
    <row r="125">
      <c r="A125" s="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5" t="n"/>
    </row>
    <row r="126">
      <c r="A126" s="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5" t="n"/>
    </row>
    <row r="127">
      <c r="A127" s="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5" t="n"/>
    </row>
    <row r="128">
      <c r="A128" s="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5" t="n"/>
    </row>
    <row r="129">
      <c r="A129" s="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5" t="n"/>
    </row>
    <row r="130">
      <c r="A130" s="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5" t="n"/>
    </row>
    <row r="131">
      <c r="A131" s="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5" t="n"/>
    </row>
    <row r="132">
      <c r="A132" s="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5" t="n"/>
    </row>
    <row r="133">
      <c r="A133" s="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5" t="n"/>
    </row>
    <row r="134">
      <c r="A134" s="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5" t="n"/>
    </row>
    <row r="135">
      <c r="A135" s="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5" t="n"/>
    </row>
    <row r="136">
      <c r="A136" s="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5" t="n"/>
    </row>
    <row r="137">
      <c r="A137" s="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5" t="n"/>
    </row>
    <row r="138">
      <c r="A138" s="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5" t="n"/>
    </row>
    <row r="139">
      <c r="A139" s="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5" t="n"/>
    </row>
    <row r="140">
      <c r="A140" s="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5" t="n"/>
    </row>
    <row r="141">
      <c r="A141" s="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5" t="n"/>
    </row>
    <row r="142">
      <c r="A142" s="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5" t="n"/>
    </row>
    <row r="143">
      <c r="A143" s="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5" t="n"/>
    </row>
    <row r="144">
      <c r="A144" s="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5" t="n"/>
    </row>
    <row r="145">
      <c r="A145" s="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5" t="n"/>
    </row>
    <row r="146">
      <c r="A146" s="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5" t="n"/>
    </row>
    <row r="147">
      <c r="A147" s="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5" t="n"/>
    </row>
    <row r="148">
      <c r="A148" s="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5" t="n"/>
    </row>
    <row r="149">
      <c r="A149" s="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5" t="n"/>
    </row>
    <row r="150">
      <c r="A150" s="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5" t="n"/>
    </row>
    <row r="151">
      <c r="A151" s="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5" t="n"/>
    </row>
    <row r="152">
      <c r="A152" s="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5" t="n"/>
    </row>
    <row r="153">
      <c r="A153" s="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5" t="n"/>
    </row>
    <row r="154">
      <c r="A154" s="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5" t="n"/>
    </row>
    <row r="155">
      <c r="A155" s="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5" t="n"/>
    </row>
    <row r="156">
      <c r="A156" s="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5" t="n"/>
    </row>
    <row r="157">
      <c r="A157" s="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5" t="n"/>
    </row>
    <row r="158">
      <c r="A158" s="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5" t="n"/>
    </row>
    <row r="159">
      <c r="A159" s="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5" t="n"/>
    </row>
    <row r="160">
      <c r="A160" s="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5" t="n"/>
    </row>
    <row r="161">
      <c r="A161" s="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5" t="n"/>
    </row>
    <row r="162">
      <c r="A162" s="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5" t="n"/>
    </row>
    <row r="163">
      <c r="A163" s="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5" t="n"/>
    </row>
    <row r="164">
      <c r="A164" s="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5" t="n"/>
    </row>
    <row r="165">
      <c r="A165" s="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5" t="n"/>
    </row>
    <row r="166">
      <c r="A166" s="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5" t="n"/>
    </row>
    <row r="167">
      <c r="A167" s="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5" t="n"/>
    </row>
    <row r="168">
      <c r="A168" s="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5" t="n"/>
    </row>
    <row r="169">
      <c r="A169" s="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5" t="n"/>
    </row>
    <row r="170">
      <c r="A170" s="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5" t="n"/>
    </row>
    <row r="171">
      <c r="A171" s="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5" t="n"/>
    </row>
    <row r="172">
      <c r="A172" s="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5" t="n"/>
    </row>
    <row r="173">
      <c r="A173" s="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5" t="n"/>
    </row>
    <row r="174">
      <c r="A174" s="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5" t="n"/>
    </row>
    <row r="175">
      <c r="A175" s="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5" t="n"/>
    </row>
    <row r="176">
      <c r="A176" s="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5" t="n"/>
    </row>
    <row r="177">
      <c r="A177" s="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5" t="n"/>
    </row>
    <row r="178">
      <c r="A178" s="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5" t="n"/>
    </row>
    <row r="179">
      <c r="A179" s="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5" t="n"/>
    </row>
    <row r="180">
      <c r="A180" s="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5" t="n"/>
    </row>
    <row r="181">
      <c r="A181" s="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5" t="n"/>
    </row>
    <row r="182">
      <c r="A182" s="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5" t="n"/>
    </row>
    <row r="183">
      <c r="A183" s="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5" t="n"/>
    </row>
    <row r="184">
      <c r="A184" s="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5" t="n"/>
    </row>
    <row r="185">
      <c r="A185" s="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5" t="n"/>
    </row>
    <row r="186">
      <c r="A186" s="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5" t="n"/>
    </row>
    <row r="187">
      <c r="A187" s="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5" t="n"/>
    </row>
    <row r="188">
      <c r="A188" s="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5" t="n"/>
    </row>
    <row r="189">
      <c r="A189" s="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5" t="n"/>
    </row>
    <row r="190">
      <c r="A190" s="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5" t="n"/>
    </row>
    <row r="191">
      <c r="A191" s="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5" t="n"/>
    </row>
    <row r="192">
      <c r="A192" s="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5" t="n"/>
    </row>
    <row r="193">
      <c r="A193" s="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5" t="n"/>
    </row>
    <row r="194">
      <c r="A194" s="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5" t="n"/>
    </row>
    <row r="195">
      <c r="A195" s="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5" t="n"/>
    </row>
    <row r="196">
      <c r="A196" s="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5" t="n"/>
    </row>
    <row r="197">
      <c r="A197" s="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5" t="n"/>
    </row>
    <row r="198">
      <c r="A198" s="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5" t="n"/>
    </row>
    <row r="199">
      <c r="A199" s="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5" t="n"/>
    </row>
    <row r="200">
      <c r="A200" s="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5" t="n"/>
    </row>
    <row r="201">
      <c r="A201" s="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5" t="n"/>
    </row>
    <row r="202">
      <c r="A202" s="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5" t="n"/>
    </row>
    <row r="203">
      <c r="A203" s="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5" t="n"/>
    </row>
    <row r="204">
      <c r="A204" s="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5" t="n"/>
    </row>
    <row r="205">
      <c r="A205" s="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5" t="n"/>
    </row>
    <row r="206">
      <c r="A206" s="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5" t="n"/>
    </row>
    <row r="207">
      <c r="A207" s="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5" t="n"/>
    </row>
    <row r="208">
      <c r="A208" s="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5" t="n"/>
    </row>
    <row r="209">
      <c r="A209" s="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5" t="n"/>
    </row>
    <row r="210">
      <c r="A210" s="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5" t="n"/>
    </row>
    <row r="211">
      <c r="A211" s="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5" t="n"/>
    </row>
    <row r="212">
      <c r="A212" s="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5" t="n"/>
    </row>
    <row r="213">
      <c r="A213" s="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5" t="n"/>
    </row>
    <row r="214">
      <c r="A214" s="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5" t="n"/>
    </row>
    <row r="215">
      <c r="A215" s="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5" t="n"/>
    </row>
    <row r="216">
      <c r="A216" s="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5" t="n"/>
    </row>
    <row r="217">
      <c r="A217" s="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5" t="n"/>
    </row>
    <row r="218">
      <c r="A218" s="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5" t="n"/>
    </row>
    <row r="219">
      <c r="A219" s="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5" t="n"/>
    </row>
    <row r="220">
      <c r="A220" s="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5" t="n"/>
    </row>
    <row r="221">
      <c r="A221" s="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5" t="n"/>
    </row>
    <row r="222">
      <c r="A222" s="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5" t="n"/>
    </row>
    <row r="223">
      <c r="A223" s="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5" t="n"/>
    </row>
    <row r="224">
      <c r="A224" s="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5" t="n"/>
    </row>
    <row r="225">
      <c r="A225" s="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5" t="n"/>
    </row>
    <row r="226">
      <c r="A226" s="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5" t="n"/>
    </row>
    <row r="227">
      <c r="A227" s="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5" t="n"/>
    </row>
    <row r="228">
      <c r="A228" s="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5" t="n"/>
    </row>
    <row r="229">
      <c r="A229" s="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5" t="n"/>
    </row>
    <row r="230">
      <c r="A230" s="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5" t="n"/>
    </row>
    <row r="231">
      <c r="A231" s="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5" t="n"/>
    </row>
    <row r="232">
      <c r="A232" s="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5" t="n"/>
    </row>
    <row r="233">
      <c r="A233" s="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5" t="n"/>
    </row>
    <row r="234">
      <c r="A234" s="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5" t="n"/>
    </row>
    <row r="235">
      <c r="A235" s="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5" t="n"/>
    </row>
    <row r="236">
      <c r="A236" s="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5" t="n"/>
    </row>
    <row r="237">
      <c r="A237" s="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5" t="n"/>
    </row>
    <row r="238">
      <c r="A238" s="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5" t="n"/>
    </row>
    <row r="239">
      <c r="A239" s="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5" t="n"/>
    </row>
    <row r="240">
      <c r="A240" s="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5" t="n"/>
    </row>
    <row r="241">
      <c r="A241" s="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5" t="n"/>
    </row>
    <row r="242">
      <c r="A242" s="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5" t="n"/>
    </row>
    <row r="243">
      <c r="A243" s="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5" t="n"/>
    </row>
    <row r="244">
      <c r="A244" s="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5" t="n"/>
    </row>
    <row r="245">
      <c r="A245" s="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5" t="n"/>
    </row>
    <row r="246">
      <c r="A246" s="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5" t="n"/>
    </row>
    <row r="247">
      <c r="A247" s="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5" t="n"/>
    </row>
    <row r="248">
      <c r="A248" s="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5" t="n"/>
    </row>
    <row r="249">
      <c r="A249" s="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5" t="n"/>
    </row>
    <row r="250">
      <c r="A250" s="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5" t="n"/>
    </row>
    <row r="251">
      <c r="A251" s="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5" t="n"/>
    </row>
    <row r="252">
      <c r="A252" s="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5" t="n"/>
    </row>
    <row r="253">
      <c r="A253" s="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5" t="n"/>
    </row>
    <row r="254">
      <c r="A254" s="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5" t="n"/>
    </row>
    <row r="255">
      <c r="A255" s="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5" t="n"/>
    </row>
    <row r="256">
      <c r="A256" s="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5" t="n"/>
    </row>
    <row r="257">
      <c r="A257" s="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5" t="n"/>
    </row>
    <row r="258">
      <c r="A258" s="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5" t="n"/>
    </row>
    <row r="259">
      <c r="A259" s="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5" t="n"/>
    </row>
    <row r="260">
      <c r="A260" s="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5" t="n"/>
    </row>
    <row r="261">
      <c r="A261" s="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5" t="n"/>
    </row>
    <row r="262">
      <c r="A262" s="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5" t="n"/>
    </row>
    <row r="263">
      <c r="A263" s="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5" t="n"/>
    </row>
    <row r="264">
      <c r="A264" s="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5" t="n"/>
    </row>
    <row r="265">
      <c r="A265" s="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5" t="n"/>
    </row>
    <row r="266">
      <c r="A266" s="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5" t="n"/>
    </row>
    <row r="267">
      <c r="A267" s="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5" t="n"/>
    </row>
    <row r="268">
      <c r="A268" s="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5" t="n"/>
    </row>
    <row r="269">
      <c r="A269" s="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5" t="n"/>
    </row>
    <row r="270">
      <c r="A270" s="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5" t="n"/>
    </row>
    <row r="271">
      <c r="A271" s="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5" t="n"/>
    </row>
    <row r="272">
      <c r="A272" s="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5" t="n"/>
    </row>
    <row r="273">
      <c r="A273" s="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5" t="n"/>
    </row>
    <row r="274">
      <c r="A274" s="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5" t="n"/>
    </row>
    <row r="275">
      <c r="A275" s="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5" t="n"/>
    </row>
    <row r="276">
      <c r="A276" s="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5" t="n"/>
    </row>
    <row r="277">
      <c r="A277" s="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5" t="n"/>
    </row>
    <row r="278">
      <c r="A278" s="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5" t="n"/>
    </row>
    <row r="279">
      <c r="A279" s="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5" t="n"/>
    </row>
    <row r="280">
      <c r="A280" s="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5" t="n"/>
    </row>
    <row r="281">
      <c r="A281" s="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5" t="n"/>
    </row>
    <row r="282">
      <c r="A282" s="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5" t="n"/>
    </row>
    <row r="283">
      <c r="A283" s="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5" t="n"/>
    </row>
    <row r="284">
      <c r="A284" s="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5" t="n"/>
    </row>
    <row r="285">
      <c r="A285" s="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5" t="n"/>
    </row>
    <row r="286">
      <c r="A286" s="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5" t="n"/>
    </row>
    <row r="287">
      <c r="A287" s="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5" t="n"/>
    </row>
    <row r="288">
      <c r="A288" s="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5" t="n"/>
    </row>
    <row r="289">
      <c r="A289" s="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5" t="n"/>
    </row>
    <row r="290">
      <c r="A290" s="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5" t="n"/>
    </row>
    <row r="291">
      <c r="A291" s="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5" t="n"/>
    </row>
    <row r="292">
      <c r="A292" s="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5" t="n"/>
    </row>
    <row r="293">
      <c r="A293" s="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5" t="n"/>
    </row>
    <row r="294">
      <c r="A294" s="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5" t="n"/>
    </row>
    <row r="295">
      <c r="A295" s="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5" t="n"/>
    </row>
    <row r="296">
      <c r="A296" s="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5" t="n"/>
    </row>
    <row r="297">
      <c r="A297" s="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5" t="n"/>
    </row>
    <row r="298">
      <c r="A298" s="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5" t="n"/>
    </row>
    <row r="299">
      <c r="A299" s="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5" t="n"/>
    </row>
    <row r="300">
      <c r="A300" s="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5" t="n"/>
    </row>
    <row r="301">
      <c r="A301" s="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5" t="n"/>
    </row>
    <row r="302">
      <c r="A302" s="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5" t="n"/>
    </row>
    <row r="303">
      <c r="A303" s="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5" t="n"/>
    </row>
    <row r="304">
      <c r="A304" s="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5" t="n"/>
    </row>
    <row r="305">
      <c r="A305" s="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5" t="n"/>
    </row>
    <row r="306">
      <c r="A306" s="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5" t="n"/>
    </row>
    <row r="307">
      <c r="A307" s="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5" t="n"/>
    </row>
    <row r="308">
      <c r="A308" s="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5" t="n"/>
    </row>
    <row r="309">
      <c r="A309" s="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5" t="n"/>
    </row>
    <row r="310">
      <c r="A310" s="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5" t="n"/>
    </row>
    <row r="311">
      <c r="A311" s="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5" t="n"/>
    </row>
    <row r="312">
      <c r="A312" s="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5" t="n"/>
    </row>
    <row r="313">
      <c r="A313" s="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5" t="n"/>
    </row>
    <row r="314">
      <c r="A314" s="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5" t="n"/>
    </row>
    <row r="315">
      <c r="A315" s="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5" t="n"/>
    </row>
    <row r="316">
      <c r="A316" s="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5" t="n"/>
    </row>
    <row r="317">
      <c r="A317" s="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5" t="n"/>
    </row>
    <row r="318">
      <c r="A318" s="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5" t="n"/>
    </row>
    <row r="319">
      <c r="A319" s="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5" t="n"/>
    </row>
    <row r="320">
      <c r="A320" s="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5" t="n"/>
    </row>
    <row r="321">
      <c r="A321" s="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5" t="n"/>
    </row>
    <row r="322">
      <c r="A322" s="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5" t="n"/>
    </row>
    <row r="323">
      <c r="A323" s="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5" t="n"/>
    </row>
    <row r="324">
      <c r="A324" s="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5" t="n"/>
    </row>
    <row r="325">
      <c r="A325" s="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5" t="n"/>
    </row>
    <row r="326">
      <c r="A326" s="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5" t="n"/>
    </row>
    <row r="327">
      <c r="A327" s="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5" t="n"/>
    </row>
    <row r="328">
      <c r="A328" s="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5" t="n"/>
    </row>
    <row r="329">
      <c r="A329" s="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5" t="n"/>
    </row>
    <row r="330">
      <c r="A330" s="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5" t="n"/>
    </row>
    <row r="331">
      <c r="A331" s="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5" t="n"/>
    </row>
    <row r="332">
      <c r="A332" s="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5" t="n"/>
    </row>
    <row r="333">
      <c r="A333" s="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5" t="n"/>
    </row>
    <row r="334">
      <c r="A334" s="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5" t="n"/>
    </row>
    <row r="335">
      <c r="A335" s="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5" t="n"/>
    </row>
    <row r="336">
      <c r="A336" s="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5" t="n"/>
    </row>
    <row r="337">
      <c r="A337" s="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5" t="n"/>
    </row>
    <row r="338">
      <c r="A338" s="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5" t="n"/>
    </row>
    <row r="339">
      <c r="A339" s="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5" t="n"/>
    </row>
    <row r="340">
      <c r="A340" s="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5" t="n"/>
    </row>
    <row r="341">
      <c r="A341" s="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5" t="n"/>
    </row>
    <row r="342">
      <c r="A342" s="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5" t="n"/>
    </row>
    <row r="343">
      <c r="A343" s="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5" t="n"/>
    </row>
    <row r="344">
      <c r="A344" s="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5" t="n"/>
    </row>
    <row r="345">
      <c r="A345" s="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5" t="n"/>
    </row>
    <row r="346">
      <c r="A346" s="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5" t="n"/>
    </row>
    <row r="347">
      <c r="A347" s="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5" t="n"/>
    </row>
    <row r="348">
      <c r="A348" s="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5" t="n"/>
    </row>
    <row r="349">
      <c r="A349" s="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5" t="n"/>
    </row>
    <row r="350">
      <c r="A350" s="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5" t="n"/>
    </row>
    <row r="351">
      <c r="A351" s="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5" t="n"/>
    </row>
    <row r="352">
      <c r="A352" s="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5" t="n"/>
    </row>
    <row r="353">
      <c r="A353" s="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5" t="n"/>
    </row>
    <row r="354">
      <c r="A354" s="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5" t="n"/>
    </row>
    <row r="355">
      <c r="A355" s="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5" t="n"/>
    </row>
    <row r="356">
      <c r="A356" s="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5" t="n"/>
    </row>
    <row r="357">
      <c r="A357" s="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5" t="n"/>
    </row>
    <row r="358">
      <c r="A358" s="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5" t="n"/>
    </row>
    <row r="359">
      <c r="A359" s="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5" t="n"/>
    </row>
    <row r="360">
      <c r="A360" s="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5" t="n"/>
    </row>
    <row r="361">
      <c r="A361" s="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5" t="n"/>
    </row>
    <row r="362">
      <c r="A362" s="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5" t="n"/>
    </row>
    <row r="363">
      <c r="A363" s="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5" t="n"/>
    </row>
    <row r="364">
      <c r="A364" s="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5" t="n"/>
    </row>
    <row r="365">
      <c r="A365" s="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5" t="n"/>
    </row>
    <row r="366">
      <c r="A366" s="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5" t="n"/>
    </row>
    <row r="367">
      <c r="A367" s="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5" t="n"/>
    </row>
    <row r="368">
      <c r="A368" s="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5" t="n"/>
    </row>
    <row r="369">
      <c r="A369" s="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5" t="n"/>
    </row>
    <row r="370">
      <c r="A370" s="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5" t="n"/>
    </row>
    <row r="371">
      <c r="A371" s="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5" t="n"/>
    </row>
    <row r="372">
      <c r="A372" s="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5" t="n"/>
    </row>
    <row r="373">
      <c r="A373" s="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5" t="n"/>
    </row>
    <row r="374">
      <c r="A374" s="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5" t="n"/>
    </row>
    <row r="375">
      <c r="A375" s="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5" t="n"/>
    </row>
    <row r="376">
      <c r="A376" s="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5" t="n"/>
    </row>
    <row r="377">
      <c r="A377" s="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5" t="n"/>
    </row>
    <row r="378">
      <c r="A378" s="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5" t="n"/>
    </row>
    <row r="379">
      <c r="A379" s="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5" t="n"/>
    </row>
    <row r="380">
      <c r="A380" s="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5" t="n"/>
    </row>
    <row r="381">
      <c r="A381" s="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5" t="n"/>
    </row>
    <row r="382">
      <c r="A382" s="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5" t="n"/>
    </row>
    <row r="383">
      <c r="A383" s="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5" t="n"/>
    </row>
    <row r="384">
      <c r="A384" s="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5" t="n"/>
    </row>
    <row r="385">
      <c r="A385" s="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5" t="n"/>
    </row>
    <row r="386">
      <c r="A386" s="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5" t="n"/>
    </row>
    <row r="387">
      <c r="A387" s="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5" t="n"/>
    </row>
    <row r="388">
      <c r="A388" s="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5" t="n"/>
    </row>
    <row r="389">
      <c r="A389" s="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5" t="n"/>
    </row>
    <row r="390">
      <c r="A390" s="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5" t="n"/>
    </row>
    <row r="391">
      <c r="A391" s="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5" t="n"/>
    </row>
    <row r="392">
      <c r="A392" s="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5" t="n"/>
    </row>
    <row r="393">
      <c r="A393" s="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5" t="n"/>
    </row>
    <row r="394">
      <c r="A394" s="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5" t="n"/>
    </row>
    <row r="395">
      <c r="A395" s="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5" t="n"/>
    </row>
    <row r="396">
      <c r="A396" s="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5" t="n"/>
    </row>
    <row r="397">
      <c r="A397" s="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5" t="n"/>
    </row>
    <row r="398">
      <c r="A398" s="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5" t="n"/>
    </row>
    <row r="399">
      <c r="A399" s="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5" t="n"/>
    </row>
    <row r="400">
      <c r="A400" s="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5" t="n"/>
    </row>
    <row r="401">
      <c r="A401" s="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5" t="n"/>
    </row>
    <row r="402">
      <c r="A402" s="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5" t="n"/>
    </row>
    <row r="403">
      <c r="A403" s="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5" t="n"/>
    </row>
    <row r="404">
      <c r="A404" s="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5" t="n"/>
    </row>
    <row r="405">
      <c r="A405" s="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5" t="n"/>
    </row>
    <row r="406">
      <c r="A406" s="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5" t="n"/>
    </row>
    <row r="407">
      <c r="A407" s="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5" t="n"/>
    </row>
    <row r="408">
      <c r="A408" s="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5" t="n"/>
    </row>
    <row r="409">
      <c r="A409" s="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5" t="n"/>
    </row>
    <row r="410">
      <c r="A410" s="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5" t="n"/>
    </row>
    <row r="411">
      <c r="A411" s="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5" t="n"/>
    </row>
    <row r="412">
      <c r="A412" s="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5" t="n"/>
    </row>
    <row r="413">
      <c r="A413" s="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5" t="n"/>
    </row>
    <row r="414">
      <c r="A414" s="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5" t="n"/>
    </row>
    <row r="415">
      <c r="A415" s="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5" t="n"/>
    </row>
    <row r="416">
      <c r="A416" s="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5" t="n"/>
    </row>
    <row r="417">
      <c r="A417" s="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5" t="n"/>
    </row>
    <row r="418">
      <c r="A418" s="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5" t="n"/>
    </row>
    <row r="419">
      <c r="A419" s="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5" t="n"/>
    </row>
    <row r="420">
      <c r="A420" s="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5" t="n"/>
    </row>
    <row r="421">
      <c r="A421" s="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5" t="n"/>
    </row>
    <row r="422">
      <c r="A422" s="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5" t="n"/>
    </row>
    <row r="423">
      <c r="A423" s="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5" t="n"/>
    </row>
    <row r="424">
      <c r="A424" s="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5" t="n"/>
    </row>
    <row r="425">
      <c r="A425" s="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5" t="n"/>
    </row>
    <row r="426">
      <c r="A426" s="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5" t="n"/>
    </row>
    <row r="427">
      <c r="A427" s="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5" t="n"/>
    </row>
    <row r="428">
      <c r="A428" s="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5" t="n"/>
    </row>
    <row r="429">
      <c r="A429" s="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5" t="n"/>
    </row>
    <row r="430">
      <c r="A430" s="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5" t="n"/>
    </row>
    <row r="431">
      <c r="A431" s="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5" t="n"/>
    </row>
    <row r="432">
      <c r="A432" s="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5" t="n"/>
    </row>
    <row r="433">
      <c r="A433" s="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5" t="n"/>
    </row>
    <row r="434">
      <c r="A434" s="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5" t="n"/>
    </row>
    <row r="435">
      <c r="A435" s="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5" t="n"/>
    </row>
    <row r="436">
      <c r="A436" s="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5" t="n"/>
    </row>
    <row r="437">
      <c r="A437" s="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5" t="n"/>
    </row>
    <row r="438">
      <c r="A438" s="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5" t="n"/>
    </row>
    <row r="439">
      <c r="A439" s="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5" t="n"/>
    </row>
    <row r="440">
      <c r="A440" s="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5" t="n"/>
    </row>
    <row r="441">
      <c r="A441" s="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5" t="n"/>
    </row>
    <row r="442">
      <c r="A442" s="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5" t="n"/>
    </row>
    <row r="443">
      <c r="A443" s="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5" t="n"/>
    </row>
    <row r="444">
      <c r="A444" s="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5" t="n"/>
    </row>
    <row r="445">
      <c r="A445" s="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5" t="n"/>
    </row>
    <row r="446">
      <c r="A446" s="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5" t="n"/>
    </row>
    <row r="447">
      <c r="A447" s="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5" t="n"/>
    </row>
    <row r="448">
      <c r="A448" s="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5" t="n"/>
    </row>
    <row r="449">
      <c r="A449" s="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5" t="n"/>
    </row>
    <row r="450">
      <c r="A450" s="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5" t="n"/>
    </row>
    <row r="451">
      <c r="A451" s="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5" t="n"/>
    </row>
    <row r="452">
      <c r="A452" s="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5" t="n"/>
    </row>
    <row r="453">
      <c r="A453" s="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5" t="n"/>
    </row>
    <row r="454">
      <c r="A454" s="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5" t="n"/>
    </row>
    <row r="455">
      <c r="A455" s="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5" t="n"/>
    </row>
    <row r="456">
      <c r="A456" s="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5" t="n"/>
    </row>
    <row r="457">
      <c r="A457" s="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5" t="n"/>
    </row>
    <row r="458">
      <c r="A458" s="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5" t="n"/>
    </row>
    <row r="459">
      <c r="A459" s="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5" t="n"/>
    </row>
    <row r="460">
      <c r="A460" s="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5" t="n"/>
    </row>
    <row r="461">
      <c r="A461" s="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5" t="n"/>
    </row>
    <row r="462">
      <c r="A462" s="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5" t="n"/>
    </row>
    <row r="463">
      <c r="A463" s="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5" t="n"/>
    </row>
    <row r="464">
      <c r="A464" s="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5" t="n"/>
    </row>
    <row r="465">
      <c r="A465" s="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5" t="n"/>
    </row>
    <row r="466">
      <c r="A466" s="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5" t="n"/>
    </row>
    <row r="467">
      <c r="A467" s="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5" t="n"/>
    </row>
    <row r="468">
      <c r="A468" s="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5" t="n"/>
    </row>
    <row r="469">
      <c r="A469" s="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5" t="n"/>
    </row>
    <row r="470">
      <c r="A470" s="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5" t="n"/>
    </row>
    <row r="471">
      <c r="A471" s="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5" t="n"/>
    </row>
    <row r="472">
      <c r="A472" s="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5" t="n"/>
    </row>
    <row r="473">
      <c r="A473" s="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5" t="n"/>
    </row>
    <row r="474">
      <c r="A474" s="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5" t="n"/>
    </row>
    <row r="475">
      <c r="A475" s="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5" t="n"/>
    </row>
    <row r="476">
      <c r="A476" s="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5" t="n"/>
    </row>
    <row r="477">
      <c r="A477" s="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5" t="n"/>
    </row>
    <row r="478">
      <c r="A478" s="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5" t="n"/>
    </row>
    <row r="479">
      <c r="A479" s="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5" t="n"/>
    </row>
    <row r="480">
      <c r="A480" s="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5" t="n"/>
    </row>
    <row r="481">
      <c r="A481" s="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5" t="n"/>
    </row>
    <row r="482">
      <c r="A482" s="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5" t="n"/>
    </row>
    <row r="483">
      <c r="A483" s="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5" t="n"/>
    </row>
    <row r="484">
      <c r="A484" s="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5" t="n"/>
    </row>
    <row r="485">
      <c r="A485" s="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5" t="n"/>
    </row>
    <row r="486">
      <c r="A486" s="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5" t="n"/>
    </row>
    <row r="487">
      <c r="A487" s="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5" t="n"/>
    </row>
    <row r="488">
      <c r="A488" s="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5" t="n"/>
    </row>
    <row r="489">
      <c r="A489" s="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5" t="n"/>
    </row>
    <row r="490">
      <c r="A490" s="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5" t="n"/>
    </row>
    <row r="491">
      <c r="A491" s="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5" t="n"/>
    </row>
    <row r="492">
      <c r="A492" s="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5" t="n"/>
    </row>
    <row r="493">
      <c r="A493" s="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5" t="n"/>
    </row>
    <row r="494">
      <c r="A494" s="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5" t="n"/>
    </row>
    <row r="495">
      <c r="A495" s="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5" t="n"/>
    </row>
    <row r="496">
      <c r="A496" s="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5" t="n"/>
    </row>
    <row r="497">
      <c r="A497" s="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5" t="n"/>
    </row>
    <row r="498">
      <c r="A498" s="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5" t="n"/>
    </row>
    <row r="499">
      <c r="A499" s="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5" t="n"/>
    </row>
    <row r="500">
      <c r="A500" s="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5" t="n"/>
    </row>
    <row r="501">
      <c r="A501" s="5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5" t="n"/>
    </row>
    <row r="502">
      <c r="A502" s="5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5" t="n"/>
    </row>
    <row r="503">
      <c r="A503" s="5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5" t="n"/>
    </row>
    <row r="504">
      <c r="A504" s="5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5" t="n"/>
    </row>
    <row r="505">
      <c r="A505" s="5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5" t="n"/>
    </row>
    <row r="506">
      <c r="A506" s="5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5" t="n"/>
    </row>
    <row r="507">
      <c r="A507" s="5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5" t="n"/>
    </row>
    <row r="508">
      <c r="A508" s="5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5" t="n"/>
    </row>
    <row r="509">
      <c r="A509" s="5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5" t="n"/>
    </row>
    <row r="510">
      <c r="A510" s="5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5" t="n"/>
    </row>
    <row r="511">
      <c r="A511" s="5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5" t="n"/>
    </row>
    <row r="512">
      <c r="A512" s="5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5" t="n"/>
    </row>
    <row r="513">
      <c r="A513" s="5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5" t="n"/>
    </row>
    <row r="514">
      <c r="A514" s="5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5" t="n"/>
    </row>
    <row r="515">
      <c r="A515" s="5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5" t="n"/>
    </row>
    <row r="516">
      <c r="A516" s="5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5" t="n"/>
    </row>
    <row r="517">
      <c r="A517" s="5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5" t="n"/>
    </row>
    <row r="518">
      <c r="A518" s="5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5" t="n"/>
    </row>
    <row r="519">
      <c r="A519" s="5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5" t="n"/>
    </row>
    <row r="520">
      <c r="A520" s="5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5" t="n"/>
    </row>
    <row r="521">
      <c r="A521" s="5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5" t="n"/>
    </row>
    <row r="522">
      <c r="A522" s="5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5" t="n"/>
    </row>
    <row r="523">
      <c r="A523" s="5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5" t="n"/>
    </row>
    <row r="524">
      <c r="A524" s="5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5" t="n"/>
    </row>
    <row r="525">
      <c r="A525" s="5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5" t="n"/>
    </row>
    <row r="526">
      <c r="A526" s="5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5" t="n"/>
    </row>
    <row r="527">
      <c r="A527" s="5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5" t="n"/>
    </row>
    <row r="528">
      <c r="A528" s="5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5" t="n"/>
    </row>
    <row r="529">
      <c r="A529" s="5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5" t="n"/>
    </row>
    <row r="530">
      <c r="A530" s="5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5" t="n"/>
    </row>
    <row r="531">
      <c r="A531" s="5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5" t="n"/>
    </row>
    <row r="532">
      <c r="A532" s="5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5" t="n"/>
    </row>
    <row r="533">
      <c r="A533" s="5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5" t="n"/>
    </row>
    <row r="534">
      <c r="A534" s="5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5" t="n"/>
    </row>
    <row r="535">
      <c r="A535" s="5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5" t="n"/>
    </row>
    <row r="536">
      <c r="A536" s="5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5" t="n"/>
    </row>
    <row r="537">
      <c r="A537" s="5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5" t="n"/>
    </row>
    <row r="538">
      <c r="A538" s="5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5" t="n"/>
    </row>
    <row r="539">
      <c r="A539" s="5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5" t="n"/>
    </row>
    <row r="540">
      <c r="A540" s="5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5" t="n"/>
    </row>
    <row r="541">
      <c r="A541" s="5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5" t="n"/>
    </row>
    <row r="542">
      <c r="A542" s="5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5" t="n"/>
    </row>
    <row r="543">
      <c r="A543" s="5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5" t="n"/>
    </row>
    <row r="544">
      <c r="A544" s="5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5" t="n"/>
    </row>
    <row r="545">
      <c r="A545" s="5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5" t="n"/>
    </row>
    <row r="546">
      <c r="A546" s="5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5" t="n"/>
    </row>
    <row r="547">
      <c r="A547" s="5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5" t="n"/>
    </row>
    <row r="548">
      <c r="A548" s="5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5" t="n"/>
    </row>
    <row r="549">
      <c r="A549" s="5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5" t="n"/>
    </row>
    <row r="550">
      <c r="A550" s="5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5" t="n"/>
    </row>
    <row r="551">
      <c r="A551" s="5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5" t="n"/>
    </row>
    <row r="552">
      <c r="A552" s="5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5" t="n"/>
    </row>
    <row r="553">
      <c r="A553" s="5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5" t="n"/>
    </row>
    <row r="554"/>
  </sheetData>
  <mergeCells count="46">
    <mergeCell ref="G31:Q31"/>
    <mergeCell ref="A4:Q6"/>
    <mergeCell ref="G43:Q43"/>
    <mergeCell ref="G12:Q12"/>
    <mergeCell ref="G21:Q21"/>
    <mergeCell ref="G11:Q11"/>
    <mergeCell ref="G27:Q27"/>
    <mergeCell ref="G36:Q36"/>
    <mergeCell ref="G42:Q42"/>
    <mergeCell ref="A1:Q1"/>
    <mergeCell ref="G48:Q48"/>
    <mergeCell ref="G17:Q17"/>
    <mergeCell ref="G23:Q23"/>
    <mergeCell ref="G39:Q39"/>
    <mergeCell ref="G8:Q8"/>
    <mergeCell ref="G38:Q38"/>
    <mergeCell ref="G19:Q19"/>
    <mergeCell ref="G37:Q37"/>
    <mergeCell ref="G10:Q10"/>
    <mergeCell ref="G28:Q28"/>
    <mergeCell ref="G13:Q13"/>
    <mergeCell ref="G18:Q18"/>
    <mergeCell ref="G49:Q49"/>
    <mergeCell ref="A3:Q3"/>
    <mergeCell ref="G34:Q34"/>
    <mergeCell ref="G24:Q24"/>
    <mergeCell ref="G30:Q30"/>
    <mergeCell ref="G15:Q15"/>
    <mergeCell ref="G33:Q33"/>
    <mergeCell ref="G14:Q14"/>
    <mergeCell ref="G45:Q45"/>
    <mergeCell ref="G26:Q26"/>
    <mergeCell ref="G46:Q46"/>
    <mergeCell ref="G35:Q35"/>
    <mergeCell ref="G20:Q20"/>
    <mergeCell ref="G29:Q29"/>
    <mergeCell ref="G47:Q47"/>
    <mergeCell ref="G16:Q16"/>
    <mergeCell ref="G25:Q25"/>
    <mergeCell ref="A52:Q52"/>
    <mergeCell ref="G41:Q41"/>
    <mergeCell ref="G32:Q32"/>
    <mergeCell ref="G44:Q44"/>
    <mergeCell ref="G22:Q22"/>
    <mergeCell ref="G40:Q40"/>
    <mergeCell ref="G9:Q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" t="inlineStr">
        <is>
          <t>PAGE2: 선택 조회 (물품명/국가/원산지/월/년도 기준 수입액·수출액 집계)</t>
        </is>
      </c>
    </row>
    <row r="3">
      <c r="A3" s="2" t="inlineStr">
        <is>
          <t>필터</t>
        </is>
      </c>
    </row>
    <row r="4">
      <c r="A4" s="7" t="inlineStr">
        <is>
          <t>물품명</t>
        </is>
      </c>
      <c r="B4" s="8" t="inlineStr">
        <is>
          <t>(선택)</t>
        </is>
      </c>
      <c r="D4" s="9" t="inlineStr">
        <is>
          <t>년도 리스트(자동)</t>
        </is>
      </c>
    </row>
    <row r="5">
      <c r="A5" s="7" t="inlineStr">
        <is>
          <t>수입국</t>
        </is>
      </c>
      <c r="B5" s="8" t="inlineStr">
        <is>
          <t>(선택)</t>
        </is>
      </c>
      <c r="D5" t="n">
        <v>2020</v>
      </c>
      <c r="F5" s="10" t="inlineStr">
        <is>
          <t>월 리스트</t>
        </is>
      </c>
    </row>
    <row r="6">
      <c r="A6" s="7" t="inlineStr">
        <is>
          <t>수출국</t>
        </is>
      </c>
      <c r="B6" s="8" t="inlineStr">
        <is>
          <t>(선택)</t>
        </is>
      </c>
      <c r="D6" t="n">
        <v>2021</v>
      </c>
      <c r="F6" t="n">
        <v>1</v>
      </c>
    </row>
    <row r="7">
      <c r="A7" s="7" t="inlineStr">
        <is>
          <t>원산지</t>
        </is>
      </c>
      <c r="B7" s="8" t="inlineStr">
        <is>
          <t>(선택)</t>
        </is>
      </c>
      <c r="D7" t="n">
        <v>2022</v>
      </c>
      <c r="F7" t="n">
        <v>2</v>
      </c>
    </row>
    <row r="8">
      <c r="A8" s="7" t="inlineStr">
        <is>
          <t>년도</t>
        </is>
      </c>
      <c r="B8" s="8" t="inlineStr">
        <is>
          <t>(선택)</t>
        </is>
      </c>
      <c r="C8" s="11">
        <f>IF(B8="","",DATE(B8,IF(B9="",1,B9),1))</f>
        <v/>
      </c>
      <c r="D8" t="n">
        <v>2023</v>
      </c>
      <c r="F8" t="n">
        <v>3</v>
      </c>
    </row>
    <row r="9">
      <c r="A9" s="7" t="inlineStr">
        <is>
          <t>월</t>
        </is>
      </c>
      <c r="B9" s="8" t="inlineStr">
        <is>
          <t>(선택)</t>
        </is>
      </c>
      <c r="C9" s="11">
        <f>IF(C8="","",EDATE(C8,1))</f>
        <v/>
      </c>
      <c r="D9" t="n">
        <v>2024</v>
      </c>
      <c r="F9" t="n">
        <v>4</v>
      </c>
    </row>
    <row r="10">
      <c r="D10" t="n">
        <v>2025</v>
      </c>
      <c r="F10" t="n">
        <v>5</v>
      </c>
    </row>
    <row r="11">
      <c r="D11" t="n">
        <v>2026</v>
      </c>
      <c r="F11" t="n">
        <v>6</v>
      </c>
    </row>
    <row r="12">
      <c r="A12" s="2" t="inlineStr">
        <is>
          <t>집계 결과</t>
        </is>
      </c>
    </row>
    <row r="13">
      <c r="A13" s="12" t="inlineStr">
        <is>
          <t>수입액(KRW 환산 전, 원본 통화 합산 주의)</t>
        </is>
      </c>
      <c r="B13" s="13">
        <f>SUMIFS(PAGE1_DATA!$R$54:$R$554,PAGE1_DATA!$B$54:$B$554,"import",PAGE1_DATA!$F$54:$F$554,IF($B$4="(선택)","*",$B$4),PAGE1_DATA!$K$54:$K$554,IF($B$5="(선택)","*",$B$5),PAGE1_DATA!$L$54:$L$554,IF($B$6="(선택)","*",$B$6),PAGE1_DATA!$H$54:$H$554,IF($B$7="(선택)","*",$B$7),PAGE1_DATA!$C$54:$C$554,"&gt;="&amp;$C$8,PAGE1_DATA!$C$54:$C$554,"&lt;"&amp;$C$9)</f>
        <v/>
      </c>
      <c r="D13" t="n">
        <v>2028</v>
      </c>
      <c r="F13" t="n">
        <v>8</v>
      </c>
    </row>
    <row r="14">
      <c r="A14" s="12" t="inlineStr">
        <is>
          <t>수출액(KRW 환산 전, 원본 통화 합산 주의)</t>
        </is>
      </c>
      <c r="B14" s="13">
        <f>SUMIFS(PAGE1_DATA!$R$54:$R$554,PAGE1_DATA!$B$54:$B$554,"export",PAGE1_DATA!$F$54:$F$554,IF($B$4="(선택)","*",$B$4),PAGE1_DATA!$K$54:$K$554,IF($B$5="(선택)","*",$B$5),PAGE1_DATA!$L$54:$L$554,IF($B$6="(선택)","*",$B$6),PAGE1_DATA!$H$54:$H$554,IF($B$7="(선택)","*",$B$7),PAGE1_DATA!$C$54:$C$554,"&gt;="&amp;$C$8,PAGE1_DATA!$C$54:$C$554,"&lt;"&amp;$C$9)</f>
        <v/>
      </c>
      <c r="D14" t="n">
        <v>2029</v>
      </c>
      <c r="F14" t="n">
        <v>9</v>
      </c>
    </row>
    <row r="15">
      <c r="A15" s="12" t="inlineStr">
        <is>
          <t>순액(수출-수입)</t>
        </is>
      </c>
      <c r="B15" s="13">
        <f>B14-B13</f>
        <v/>
      </c>
      <c r="D15" t="n">
        <v>2030</v>
      </c>
      <c r="F15" t="n">
        <v>10</v>
      </c>
    </row>
    <row r="16">
      <c r="D16" t="n">
        <v>2031</v>
      </c>
      <c r="F16" t="n">
        <v>11</v>
      </c>
    </row>
    <row r="17">
      <c r="D17" t="n">
        <v>2032</v>
      </c>
      <c r="F17" t="n">
        <v>12</v>
      </c>
    </row>
    <row r="18">
      <c r="D18" t="n">
        <v>2033</v>
      </c>
    </row>
    <row r="19">
      <c r="D19" s="14" t="inlineStr">
        <is>
          <t>참고: 물품명/국가/원산지 드롭다운은 운영 시 '목록시트'를 별도 생성하거나, POWER QUERY/피벗으로 자동 갱신을 권장</t>
        </is>
      </c>
    </row>
    <row r="20"/>
  </sheetData>
  <mergeCells count="5">
    <mergeCell ref="A1:J1"/>
    <mergeCell ref="D19:J20"/>
    <mergeCell ref="D4:F4"/>
    <mergeCell ref="A3:J3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2026-02-04T02:01:57Z</dcterms:created>
  <dcterms:modified xmlns:dcterms="http://purl.org/dc/terms/" xmlns:xsi="http://www.w3.org/2001/XMLSchema-instance" xsi:type="dcterms:W3CDTF">2026-02-05T12:14:15Z</dcterms:modified>
</cp:coreProperties>
</file>